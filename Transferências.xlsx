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gorr\OneDrive\Documents\Gestão Caratininga\Estoque\Transferências\05 - Maio\"/>
    </mc:Choice>
  </mc:AlternateContent>
  <xr:revisionPtr revIDLastSave="0" documentId="13_ncr:1_{4052BD41-068F-4032-8720-C9C457172325}" xr6:coauthVersionLast="47" xr6:coauthVersionMax="47" xr10:uidLastSave="{00000000-0000-0000-0000-000000000000}"/>
  <bookViews>
    <workbookView xWindow="-120" yWindow="-120" windowWidth="24240" windowHeight="13020" activeTab="2" xr2:uid="{843E7085-B78E-46DD-B58A-D65A30636A4D}"/>
  </bookViews>
  <sheets>
    <sheet name="Mucambo" sheetId="5" r:id="rId1"/>
    <sheet name="Frecheirinha" sheetId="1" r:id="rId2"/>
    <sheet name="Tianguá" sheetId="6" r:id="rId3"/>
    <sheet name="Base" sheetId="2" r:id="rId4"/>
  </sheets>
  <definedNames>
    <definedName name="_xlnm._FilterDatabase" localSheetId="1" hidden="1">Frecheirinha!$A$5:$G$352</definedName>
    <definedName name="_xlnm._FilterDatabase" localSheetId="0" hidden="1">Mucambo!$A$5:$G$432</definedName>
    <definedName name="_xlnm._FilterDatabase" localSheetId="2" hidden="1">Tianguá!$A$5:$G$353</definedName>
    <definedName name="_xlnm.Print_Area" localSheetId="1">Frecheirinha!$I:$N</definedName>
    <definedName name="_xlnm.Print_Area" localSheetId="0">Mucambo!$I:$N</definedName>
    <definedName name="_xlnm.Print_Area" localSheetId="2">Tianguá!$I:$N</definedName>
    <definedName name="_xlnm.Print_Titles" localSheetId="1">Frecheirinha!$1:$5</definedName>
    <definedName name="_xlnm.Print_Titles" localSheetId="0">Mucambo!$1:$5</definedName>
    <definedName name="_xlnm.Print_Titles" localSheetId="2">Tianguá!$1:$5</definedName>
  </definedNames>
  <calcPr calcId="191029"/>
  <pivotCaches>
    <pivotCache cacheId="98" r:id="rId5"/>
    <pivotCache cacheId="104" r:id="rId6"/>
    <pivotCache cacheId="1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1" i="6" l="1"/>
  <c r="E353" i="6"/>
  <c r="E15" i="6"/>
  <c r="E66" i="6"/>
  <c r="E73" i="6"/>
  <c r="E111" i="6"/>
  <c r="E123" i="6"/>
  <c r="E163" i="6"/>
  <c r="E198" i="6"/>
  <c r="E233" i="6"/>
  <c r="E274" i="6"/>
  <c r="E311" i="6"/>
  <c r="E324" i="6"/>
  <c r="E332" i="6"/>
  <c r="E6" i="6"/>
  <c r="E71" i="6"/>
  <c r="E95" i="6"/>
  <c r="E112" i="6"/>
  <c r="E164" i="6"/>
  <c r="E255" i="6"/>
  <c r="E313" i="6"/>
  <c r="E28" i="6"/>
  <c r="E52" i="6"/>
  <c r="E67" i="6"/>
  <c r="E136" i="6"/>
  <c r="E199" i="6"/>
  <c r="E209" i="6"/>
  <c r="E234" i="6"/>
  <c r="E241" i="6"/>
  <c r="E252" i="6"/>
  <c r="E325" i="6"/>
  <c r="E16" i="6"/>
  <c r="E29" i="6"/>
  <c r="E84" i="6"/>
  <c r="E124" i="6"/>
  <c r="E165" i="6"/>
  <c r="E278" i="6"/>
  <c r="E30" i="6"/>
  <c r="E41" i="6"/>
  <c r="E53" i="6"/>
  <c r="E86" i="6"/>
  <c r="E125" i="6"/>
  <c r="E137" i="6"/>
  <c r="E171" i="6"/>
  <c r="E235" i="6"/>
  <c r="E259" i="6"/>
  <c r="E352" i="6"/>
  <c r="E31" i="6"/>
  <c r="E200" i="6"/>
  <c r="E202" i="6"/>
  <c r="E219" i="6"/>
  <c r="E236" i="6"/>
  <c r="E267" i="6"/>
  <c r="E279" i="6"/>
  <c r="E42" i="6"/>
  <c r="E68" i="6"/>
  <c r="E74" i="6"/>
  <c r="E96" i="6"/>
  <c r="E99" i="6"/>
  <c r="E113" i="6"/>
  <c r="E138" i="6"/>
  <c r="E145" i="6"/>
  <c r="E151" i="6"/>
  <c r="E170" i="6"/>
  <c r="E177" i="6"/>
  <c r="E201" i="6"/>
  <c r="E210" i="6"/>
  <c r="E220" i="6"/>
  <c r="E224" i="6"/>
  <c r="E275" i="6"/>
  <c r="E326" i="6"/>
  <c r="F331" i="6"/>
  <c r="F353" i="6"/>
  <c r="F15" i="6"/>
  <c r="F66" i="6"/>
  <c r="F73" i="6"/>
  <c r="F111" i="6"/>
  <c r="F123" i="6"/>
  <c r="F163" i="6"/>
  <c r="F198" i="6"/>
  <c r="F233" i="6"/>
  <c r="F274" i="6"/>
  <c r="F311" i="6"/>
  <c r="F324" i="6"/>
  <c r="F332" i="6"/>
  <c r="F6" i="6"/>
  <c r="F71" i="6"/>
  <c r="F95" i="6"/>
  <c r="F112" i="6"/>
  <c r="F164" i="6"/>
  <c r="F255" i="6"/>
  <c r="F313" i="6"/>
  <c r="F28" i="6"/>
  <c r="F52" i="6"/>
  <c r="F67" i="6"/>
  <c r="F136" i="6"/>
  <c r="F199" i="6"/>
  <c r="F209" i="6"/>
  <c r="F234" i="6"/>
  <c r="F241" i="6"/>
  <c r="F252" i="6"/>
  <c r="F325" i="6"/>
  <c r="F16" i="6"/>
  <c r="F29" i="6"/>
  <c r="F84" i="6"/>
  <c r="F124" i="6"/>
  <c r="F165" i="6"/>
  <c r="F278" i="6"/>
  <c r="F30" i="6"/>
  <c r="F41" i="6"/>
  <c r="F53" i="6"/>
  <c r="F86" i="6"/>
  <c r="F125" i="6"/>
  <c r="F137" i="6"/>
  <c r="F171" i="6"/>
  <c r="F235" i="6"/>
  <c r="F259" i="6"/>
  <c r="F352" i="6"/>
  <c r="F31" i="6"/>
  <c r="F200" i="6"/>
  <c r="F202" i="6"/>
  <c r="F219" i="6"/>
  <c r="F236" i="6"/>
  <c r="F267" i="6"/>
  <c r="F279" i="6"/>
  <c r="F42" i="6"/>
  <c r="F68" i="6"/>
  <c r="F74" i="6"/>
  <c r="F96" i="6"/>
  <c r="F99" i="6"/>
  <c r="F113" i="6"/>
  <c r="F138" i="6"/>
  <c r="F145" i="6"/>
  <c r="F151" i="6"/>
  <c r="F170" i="6"/>
  <c r="F177" i="6"/>
  <c r="F201" i="6"/>
  <c r="F210" i="6"/>
  <c r="F220" i="6"/>
  <c r="F224" i="6"/>
  <c r="F275" i="6"/>
  <c r="F326" i="6"/>
  <c r="G331" i="6"/>
  <c r="G353" i="6"/>
  <c r="G15" i="6"/>
  <c r="G66" i="6"/>
  <c r="G73" i="6"/>
  <c r="G111" i="6"/>
  <c r="G123" i="6"/>
  <c r="G163" i="6"/>
  <c r="G198" i="6"/>
  <c r="G233" i="6"/>
  <c r="G274" i="6"/>
  <c r="G311" i="6"/>
  <c r="G324" i="6"/>
  <c r="G332" i="6"/>
  <c r="G6" i="6"/>
  <c r="G71" i="6"/>
  <c r="G95" i="6"/>
  <c r="G112" i="6"/>
  <c r="G164" i="6"/>
  <c r="G255" i="6"/>
  <c r="G313" i="6"/>
  <c r="G28" i="6"/>
  <c r="G52" i="6"/>
  <c r="G67" i="6"/>
  <c r="G136" i="6"/>
  <c r="G199" i="6"/>
  <c r="G209" i="6"/>
  <c r="G234" i="6"/>
  <c r="G241" i="6"/>
  <c r="G252" i="6"/>
  <c r="G325" i="6"/>
  <c r="G16" i="6"/>
  <c r="G29" i="6"/>
  <c r="G84" i="6"/>
  <c r="G124" i="6"/>
  <c r="G165" i="6"/>
  <c r="G278" i="6"/>
  <c r="G30" i="6"/>
  <c r="G41" i="6"/>
  <c r="G53" i="6"/>
  <c r="G86" i="6"/>
  <c r="G125" i="6"/>
  <c r="G137" i="6"/>
  <c r="G171" i="6"/>
  <c r="G235" i="6"/>
  <c r="G259" i="6"/>
  <c r="G352" i="6"/>
  <c r="G31" i="6"/>
  <c r="G200" i="6"/>
  <c r="G202" i="6"/>
  <c r="G219" i="6"/>
  <c r="G236" i="6"/>
  <c r="G267" i="6"/>
  <c r="G279" i="6"/>
  <c r="G42" i="6"/>
  <c r="G68" i="6"/>
  <c r="G74" i="6"/>
  <c r="G96" i="6"/>
  <c r="G99" i="6"/>
  <c r="G113" i="6"/>
  <c r="G138" i="6"/>
  <c r="G145" i="6"/>
  <c r="G151" i="6"/>
  <c r="G170" i="6"/>
  <c r="G177" i="6"/>
  <c r="G201" i="6"/>
  <c r="G210" i="6"/>
  <c r="G220" i="6"/>
  <c r="G224" i="6"/>
  <c r="G275" i="6"/>
  <c r="G326" i="6"/>
  <c r="E132" i="1"/>
  <c r="E144" i="1"/>
  <c r="E179" i="1"/>
  <c r="E196" i="1"/>
  <c r="E205" i="1"/>
  <c r="E210" i="1"/>
  <c r="E228" i="1"/>
  <c r="E260" i="1"/>
  <c r="E265" i="1"/>
  <c r="E292" i="1"/>
  <c r="E294" i="1"/>
  <c r="E310" i="1"/>
  <c r="E334" i="1"/>
  <c r="E336" i="1"/>
  <c r="E346" i="1"/>
  <c r="E59" i="1"/>
  <c r="E79" i="1"/>
  <c r="E84" i="1"/>
  <c r="E93" i="1"/>
  <c r="E133" i="1"/>
  <c r="E180" i="1"/>
  <c r="E27" i="1"/>
  <c r="E110" i="1"/>
  <c r="E223" i="1"/>
  <c r="E229" i="1"/>
  <c r="E236" i="1"/>
  <c r="E261" i="1"/>
  <c r="E272" i="1"/>
  <c r="E283" i="1"/>
  <c r="E325" i="1"/>
  <c r="E17" i="1"/>
  <c r="E85" i="1"/>
  <c r="E124" i="1"/>
  <c r="E134" i="1"/>
  <c r="E197" i="1"/>
  <c r="E262" i="1"/>
  <c r="E266" i="1"/>
  <c r="E311" i="1"/>
  <c r="E18" i="1"/>
  <c r="E86" i="1"/>
  <c r="E181" i="1"/>
  <c r="E245" i="1"/>
  <c r="E312" i="1"/>
  <c r="E326" i="1"/>
  <c r="E347" i="1"/>
  <c r="E19" i="1"/>
  <c r="E28" i="1"/>
  <c r="E60" i="1"/>
  <c r="E94" i="1"/>
  <c r="E102" i="1"/>
  <c r="E126" i="1"/>
  <c r="E158" i="1"/>
  <c r="E182" i="1"/>
  <c r="E45" i="1"/>
  <c r="E69" i="1"/>
  <c r="E87" i="1"/>
  <c r="E103" i="1"/>
  <c r="E135" i="1"/>
  <c r="E159" i="1"/>
  <c r="E183" i="1"/>
  <c r="E198" i="1"/>
  <c r="E206" i="1"/>
  <c r="E211" i="1"/>
  <c r="E280" i="1"/>
  <c r="E284" i="1"/>
  <c r="E293" i="1"/>
  <c r="E313" i="1"/>
  <c r="E329" i="1"/>
  <c r="E335" i="1"/>
  <c r="E348" i="1"/>
  <c r="E352" i="1"/>
  <c r="E46" i="1"/>
  <c r="E88" i="1"/>
  <c r="E116" i="1"/>
  <c r="E117" i="1"/>
  <c r="E125" i="1"/>
  <c r="E146" i="1"/>
  <c r="E184" i="1"/>
  <c r="E212" i="1"/>
  <c r="E216" i="1"/>
  <c r="E246" i="1"/>
  <c r="E349" i="1"/>
  <c r="F132" i="1"/>
  <c r="F144" i="1"/>
  <c r="F179" i="1"/>
  <c r="F196" i="1"/>
  <c r="F205" i="1"/>
  <c r="F210" i="1"/>
  <c r="F228" i="1"/>
  <c r="F260" i="1"/>
  <c r="F265" i="1"/>
  <c r="F292" i="1"/>
  <c r="F294" i="1"/>
  <c r="F310" i="1"/>
  <c r="F334" i="1"/>
  <c r="F336" i="1"/>
  <c r="F346" i="1"/>
  <c r="F59" i="1"/>
  <c r="F79" i="1"/>
  <c r="F84" i="1"/>
  <c r="F93" i="1"/>
  <c r="F133" i="1"/>
  <c r="F180" i="1"/>
  <c r="F27" i="1"/>
  <c r="F110" i="1"/>
  <c r="F223" i="1"/>
  <c r="F229" i="1"/>
  <c r="F236" i="1"/>
  <c r="F261" i="1"/>
  <c r="F272" i="1"/>
  <c r="F283" i="1"/>
  <c r="F325" i="1"/>
  <c r="F17" i="1"/>
  <c r="F85" i="1"/>
  <c r="F124" i="1"/>
  <c r="F134" i="1"/>
  <c r="F197" i="1"/>
  <c r="F262" i="1"/>
  <c r="F266" i="1"/>
  <c r="F311" i="1"/>
  <c r="F18" i="1"/>
  <c r="F86" i="1"/>
  <c r="F181" i="1"/>
  <c r="F245" i="1"/>
  <c r="F312" i="1"/>
  <c r="F326" i="1"/>
  <c r="F347" i="1"/>
  <c r="F19" i="1"/>
  <c r="F28" i="1"/>
  <c r="F60" i="1"/>
  <c r="F94" i="1"/>
  <c r="F102" i="1"/>
  <c r="F126" i="1"/>
  <c r="F158" i="1"/>
  <c r="F182" i="1"/>
  <c r="F45" i="1"/>
  <c r="F69" i="1"/>
  <c r="F87" i="1"/>
  <c r="F103" i="1"/>
  <c r="F135" i="1"/>
  <c r="F159" i="1"/>
  <c r="F183" i="1"/>
  <c r="F198" i="1"/>
  <c r="F206" i="1"/>
  <c r="F211" i="1"/>
  <c r="F280" i="1"/>
  <c r="F284" i="1"/>
  <c r="F293" i="1"/>
  <c r="F313" i="1"/>
  <c r="F329" i="1"/>
  <c r="F335" i="1"/>
  <c r="F348" i="1"/>
  <c r="F352" i="1"/>
  <c r="F46" i="1"/>
  <c r="F88" i="1"/>
  <c r="F116" i="1"/>
  <c r="F117" i="1"/>
  <c r="F125" i="1"/>
  <c r="F146" i="1"/>
  <c r="F184" i="1"/>
  <c r="F212" i="1"/>
  <c r="F216" i="1"/>
  <c r="F246" i="1"/>
  <c r="F349" i="1"/>
  <c r="G132" i="1"/>
  <c r="G144" i="1"/>
  <c r="G179" i="1"/>
  <c r="G196" i="1"/>
  <c r="G205" i="1"/>
  <c r="G210" i="1"/>
  <c r="G228" i="1"/>
  <c r="G260" i="1"/>
  <c r="G265" i="1"/>
  <c r="G292" i="1"/>
  <c r="G294" i="1"/>
  <c r="G310" i="1"/>
  <c r="G334" i="1"/>
  <c r="G336" i="1"/>
  <c r="G346" i="1"/>
  <c r="G59" i="1"/>
  <c r="G79" i="1"/>
  <c r="G84" i="1"/>
  <c r="G93" i="1"/>
  <c r="G133" i="1"/>
  <c r="G180" i="1"/>
  <c r="G27" i="1"/>
  <c r="G110" i="1"/>
  <c r="G223" i="1"/>
  <c r="G229" i="1"/>
  <c r="G236" i="1"/>
  <c r="G261" i="1"/>
  <c r="G272" i="1"/>
  <c r="G283" i="1"/>
  <c r="G325" i="1"/>
  <c r="G17" i="1"/>
  <c r="G85" i="1"/>
  <c r="G124" i="1"/>
  <c r="G134" i="1"/>
  <c r="G197" i="1"/>
  <c r="G262" i="1"/>
  <c r="G266" i="1"/>
  <c r="G311" i="1"/>
  <c r="G18" i="1"/>
  <c r="G86" i="1"/>
  <c r="G181" i="1"/>
  <c r="G245" i="1"/>
  <c r="G312" i="1"/>
  <c r="G326" i="1"/>
  <c r="G347" i="1"/>
  <c r="G19" i="1"/>
  <c r="G28" i="1"/>
  <c r="G60" i="1"/>
  <c r="G94" i="1"/>
  <c r="G102" i="1"/>
  <c r="G126" i="1"/>
  <c r="G158" i="1"/>
  <c r="G182" i="1"/>
  <c r="G45" i="1"/>
  <c r="G69" i="1"/>
  <c r="G87" i="1"/>
  <c r="G103" i="1"/>
  <c r="G135" i="1"/>
  <c r="G159" i="1"/>
  <c r="G183" i="1"/>
  <c r="G198" i="1"/>
  <c r="G206" i="1"/>
  <c r="G211" i="1"/>
  <c r="G280" i="1"/>
  <c r="G284" i="1"/>
  <c r="G293" i="1"/>
  <c r="G313" i="1"/>
  <c r="G329" i="1"/>
  <c r="G335" i="1"/>
  <c r="G348" i="1"/>
  <c r="G352" i="1"/>
  <c r="G46" i="1"/>
  <c r="G88" i="1"/>
  <c r="G116" i="1"/>
  <c r="G117" i="1"/>
  <c r="G125" i="1"/>
  <c r="G146" i="1"/>
  <c r="G184" i="1"/>
  <c r="G212" i="1"/>
  <c r="G216" i="1"/>
  <c r="G246" i="1"/>
  <c r="G349" i="1"/>
  <c r="E10" i="1"/>
  <c r="E21" i="1"/>
  <c r="E29" i="1"/>
  <c r="E47" i="1"/>
  <c r="E61" i="1"/>
  <c r="E95" i="1"/>
  <c r="E111" i="1"/>
  <c r="E118" i="1"/>
  <c r="E139" i="1"/>
  <c r="E147" i="1"/>
  <c r="E160" i="1"/>
  <c r="E273" i="1"/>
  <c r="E295" i="1"/>
  <c r="E337" i="1"/>
  <c r="E8" i="1"/>
  <c r="E11" i="1"/>
  <c r="E22" i="1"/>
  <c r="E34" i="1"/>
  <c r="E56" i="1"/>
  <c r="E62" i="1"/>
  <c r="E104" i="1"/>
  <c r="E127" i="1"/>
  <c r="E161" i="1"/>
  <c r="E185" i="1"/>
  <c r="E188" i="1"/>
  <c r="E207" i="1"/>
  <c r="E224" i="1"/>
  <c r="E237" i="1"/>
  <c r="E248" i="1"/>
  <c r="E250" i="1"/>
  <c r="E274" i="1"/>
  <c r="E285" i="1"/>
  <c r="E289" i="1"/>
  <c r="E296" i="1"/>
  <c r="E319" i="1"/>
  <c r="E327" i="1"/>
  <c r="E328" i="1"/>
  <c r="E333" i="1"/>
  <c r="E351" i="1"/>
  <c r="E12" i="1"/>
  <c r="E30" i="1"/>
  <c r="E35" i="1"/>
  <c r="E54" i="1"/>
  <c r="E80" i="1"/>
  <c r="E119" i="1"/>
  <c r="E128" i="1"/>
  <c r="E152" i="1"/>
  <c r="E162" i="1"/>
  <c r="E189" i="1"/>
  <c r="E199" i="1"/>
  <c r="E230" i="1"/>
  <c r="E231" i="1"/>
  <c r="E238" i="1"/>
  <c r="E251" i="1"/>
  <c r="E275" i="1"/>
  <c r="E338" i="1"/>
  <c r="E13" i="1"/>
  <c r="E23" i="1"/>
  <c r="E36" i="1"/>
  <c r="E63" i="1"/>
  <c r="E70" i="1"/>
  <c r="E140" i="1"/>
  <c r="E163" i="1"/>
  <c r="E225" i="1"/>
  <c r="E297" i="1"/>
  <c r="E64" i="1"/>
  <c r="E164" i="1"/>
  <c r="E200" i="1"/>
  <c r="E217" i="1"/>
  <c r="E298" i="1"/>
  <c r="E6" i="1"/>
  <c r="E89" i="1"/>
  <c r="E316" i="1"/>
  <c r="E153" i="1"/>
  <c r="E165" i="1"/>
  <c r="E247" i="1"/>
  <c r="E252" i="1"/>
  <c r="E268" i="1"/>
  <c r="E299" i="1"/>
  <c r="E315" i="1"/>
  <c r="E65" i="1"/>
  <c r="E96" i="1"/>
  <c r="E105" i="1"/>
  <c r="E120" i="1"/>
  <c r="E145" i="1"/>
  <c r="E148" i="1"/>
  <c r="E186" i="1"/>
  <c r="E208" i="1"/>
  <c r="E243" i="1"/>
  <c r="E249" i="1"/>
  <c r="E253" i="1"/>
  <c r="E276" i="1"/>
  <c r="E300" i="1"/>
  <c r="E339" i="1"/>
  <c r="E48" i="1"/>
  <c r="E66" i="1"/>
  <c r="E71" i="1"/>
  <c r="E106" i="1"/>
  <c r="E121" i="1"/>
  <c r="E166" i="1"/>
  <c r="E254" i="1"/>
  <c r="E270" i="1"/>
  <c r="E286" i="1"/>
  <c r="E323" i="1"/>
  <c r="E332" i="1"/>
  <c r="E37" i="1"/>
  <c r="E97" i="1"/>
  <c r="E112" i="1"/>
  <c r="E154" i="1"/>
  <c r="E167" i="1"/>
  <c r="E190" i="1"/>
  <c r="E201" i="1"/>
  <c r="E209" i="1"/>
  <c r="E218" i="1"/>
  <c r="E226" i="1"/>
  <c r="E232" i="1"/>
  <c r="E234" i="1"/>
  <c r="E239" i="1"/>
  <c r="E287" i="1"/>
  <c r="E301" i="1"/>
  <c r="E255" i="1"/>
  <c r="E38" i="1"/>
  <c r="E81" i="1"/>
  <c r="E98" i="1"/>
  <c r="E122" i="1"/>
  <c r="E129" i="1"/>
  <c r="E168" i="1"/>
  <c r="E191" i="1"/>
  <c r="E202" i="1"/>
  <c r="E213" i="1"/>
  <c r="E235" i="1"/>
  <c r="E240" i="1"/>
  <c r="E281" i="1"/>
  <c r="E290" i="1"/>
  <c r="E302" i="1"/>
  <c r="E317" i="1"/>
  <c r="E320" i="1"/>
  <c r="E340" i="1"/>
  <c r="E31" i="1"/>
  <c r="E39" i="1"/>
  <c r="E57" i="1"/>
  <c r="E67" i="1"/>
  <c r="E82" i="1"/>
  <c r="E113" i="1"/>
  <c r="E169" i="1"/>
  <c r="E192" i="1"/>
  <c r="E214" i="1"/>
  <c r="E219" i="1"/>
  <c r="E256" i="1"/>
  <c r="E267" i="1"/>
  <c r="E40" i="1"/>
  <c r="E72" i="1"/>
  <c r="E90" i="1"/>
  <c r="E303" i="1"/>
  <c r="E324" i="1"/>
  <c r="E330" i="1"/>
  <c r="E341" i="1"/>
  <c r="E73" i="1"/>
  <c r="E155" i="1"/>
  <c r="E282" i="1"/>
  <c r="E288" i="1"/>
  <c r="E32" i="1"/>
  <c r="E68" i="1"/>
  <c r="E74" i="1"/>
  <c r="E83" i="1"/>
  <c r="E170" i="1"/>
  <c r="E233" i="1"/>
  <c r="E244" i="1"/>
  <c r="E271" i="1"/>
  <c r="E314" i="1"/>
  <c r="E20" i="1"/>
  <c r="E220" i="1"/>
  <c r="E41" i="1"/>
  <c r="E49" i="1"/>
  <c r="E91" i="1"/>
  <c r="E171" i="1"/>
  <c r="E187" i="1"/>
  <c r="E215" i="1"/>
  <c r="E263" i="1"/>
  <c r="E75" i="1"/>
  <c r="E172" i="1"/>
  <c r="E304" i="1"/>
  <c r="E9" i="1"/>
  <c r="E24" i="1"/>
  <c r="E33" i="1"/>
  <c r="E50" i="1"/>
  <c r="E141" i="1"/>
  <c r="E173" i="1"/>
  <c r="E193" i="1"/>
  <c r="E264" i="1"/>
  <c r="E321" i="1"/>
  <c r="E42" i="1"/>
  <c r="E51" i="1"/>
  <c r="E76" i="1"/>
  <c r="E99" i="1"/>
  <c r="E107" i="1"/>
  <c r="E136" i="1"/>
  <c r="E142" i="1"/>
  <c r="E149" i="1"/>
  <c r="E156" i="1"/>
  <c r="E174" i="1"/>
  <c r="E194" i="1"/>
  <c r="E221" i="1"/>
  <c r="E257" i="1"/>
  <c r="E277" i="1"/>
  <c r="E305" i="1"/>
  <c r="E318" i="1"/>
  <c r="E331" i="1"/>
  <c r="E342" i="1"/>
  <c r="E350" i="1"/>
  <c r="E203" i="1"/>
  <c r="E25" i="1"/>
  <c r="E43" i="1"/>
  <c r="E92" i="1"/>
  <c r="E100" i="1"/>
  <c r="E108" i="1"/>
  <c r="E130" i="1"/>
  <c r="E175" i="1"/>
  <c r="E227" i="1"/>
  <c r="E269" i="1"/>
  <c r="E278" i="1"/>
  <c r="E306" i="1"/>
  <c r="E343" i="1"/>
  <c r="E52" i="1"/>
  <c r="E58" i="1"/>
  <c r="E109" i="1"/>
  <c r="E195" i="1"/>
  <c r="E44" i="1"/>
  <c r="E77" i="1"/>
  <c r="E222" i="1"/>
  <c r="E241" i="1"/>
  <c r="E157" i="1"/>
  <c r="E176" i="1"/>
  <c r="E242" i="1"/>
  <c r="E291" i="1"/>
  <c r="E307" i="1"/>
  <c r="E14" i="1"/>
  <c r="E53" i="1"/>
  <c r="E78" i="1"/>
  <c r="E137" i="1"/>
  <c r="E143" i="1"/>
  <c r="E150" i="1"/>
  <c r="E258" i="1"/>
  <c r="E15" i="1"/>
  <c r="E26" i="1"/>
  <c r="E114" i="1"/>
  <c r="E138" i="1"/>
  <c r="E151" i="1"/>
  <c r="E177" i="1"/>
  <c r="E204" i="1"/>
  <c r="E259" i="1"/>
  <c r="E308" i="1"/>
  <c r="E322" i="1"/>
  <c r="E344" i="1"/>
  <c r="E7" i="1"/>
  <c r="E115" i="1"/>
  <c r="E123" i="1"/>
  <c r="E131" i="1"/>
  <c r="E178" i="1"/>
  <c r="E279" i="1"/>
  <c r="E309" i="1"/>
  <c r="E345" i="1"/>
  <c r="E16" i="1"/>
  <c r="E55" i="1"/>
  <c r="E101" i="1"/>
  <c r="E338" i="5"/>
  <c r="E396" i="5"/>
  <c r="E424" i="5"/>
  <c r="E25" i="5"/>
  <c r="E59" i="5"/>
  <c r="E71" i="5"/>
  <c r="E84" i="5"/>
  <c r="E138" i="5"/>
  <c r="E153" i="5"/>
  <c r="E239" i="5"/>
  <c r="E331" i="5"/>
  <c r="E350" i="5"/>
  <c r="E38" i="5"/>
  <c r="E85" i="5"/>
  <c r="E98" i="5"/>
  <c r="E121" i="5"/>
  <c r="E139" i="5"/>
  <c r="E177" i="5"/>
  <c r="E218" i="5"/>
  <c r="E240" i="5"/>
  <c r="E257" i="5"/>
  <c r="E277" i="5"/>
  <c r="E303" i="5"/>
  <c r="E383" i="5"/>
  <c r="E397" i="5"/>
  <c r="E60" i="5"/>
  <c r="E154" i="5"/>
  <c r="E156" i="5"/>
  <c r="E196" i="5"/>
  <c r="E241" i="5"/>
  <c r="E262" i="5"/>
  <c r="E310" i="5"/>
  <c r="E384" i="5"/>
  <c r="E418" i="5"/>
  <c r="E421" i="5"/>
  <c r="F338" i="5"/>
  <c r="F396" i="5"/>
  <c r="F424" i="5"/>
  <c r="F25" i="5"/>
  <c r="F59" i="5"/>
  <c r="F71" i="5"/>
  <c r="F84" i="5"/>
  <c r="F138" i="5"/>
  <c r="F153" i="5"/>
  <c r="F239" i="5"/>
  <c r="F331" i="5"/>
  <c r="F350" i="5"/>
  <c r="F38" i="5"/>
  <c r="F85" i="5"/>
  <c r="F98" i="5"/>
  <c r="F121" i="5"/>
  <c r="F139" i="5"/>
  <c r="F177" i="5"/>
  <c r="F218" i="5"/>
  <c r="F240" i="5"/>
  <c r="F257" i="5"/>
  <c r="F277" i="5"/>
  <c r="F303" i="5"/>
  <c r="F383" i="5"/>
  <c r="F397" i="5"/>
  <c r="F60" i="5"/>
  <c r="F154" i="5"/>
  <c r="F156" i="5"/>
  <c r="F196" i="5"/>
  <c r="F241" i="5"/>
  <c r="F262" i="5"/>
  <c r="F310" i="5"/>
  <c r="F384" i="5"/>
  <c r="F418" i="5"/>
  <c r="F421" i="5"/>
  <c r="G338" i="5"/>
  <c r="G396" i="5"/>
  <c r="G424" i="5"/>
  <c r="G25" i="5"/>
  <c r="G59" i="5"/>
  <c r="G71" i="5"/>
  <c r="G84" i="5"/>
  <c r="G138" i="5"/>
  <c r="G153" i="5"/>
  <c r="G239" i="5"/>
  <c r="G331" i="5"/>
  <c r="G350" i="5"/>
  <c r="G38" i="5"/>
  <c r="G85" i="5"/>
  <c r="G98" i="5"/>
  <c r="G121" i="5"/>
  <c r="G139" i="5"/>
  <c r="G177" i="5"/>
  <c r="G218" i="5"/>
  <c r="G240" i="5"/>
  <c r="G257" i="5"/>
  <c r="G277" i="5"/>
  <c r="G303" i="5"/>
  <c r="G383" i="5"/>
  <c r="G397" i="5"/>
  <c r="G60" i="5"/>
  <c r="G154" i="5"/>
  <c r="G156" i="5"/>
  <c r="G196" i="5"/>
  <c r="G241" i="5"/>
  <c r="G262" i="5"/>
  <c r="G310" i="5"/>
  <c r="G384" i="5"/>
  <c r="G418" i="5"/>
  <c r="G421" i="5"/>
  <c r="F107" i="1"/>
  <c r="F142" i="1"/>
  <c r="F25" i="1"/>
  <c r="F58" i="1"/>
  <c r="F13" i="1"/>
  <c r="F191" i="1"/>
  <c r="F39" i="1"/>
  <c r="F303" i="1"/>
  <c r="F95" i="1"/>
  <c r="F127" i="1"/>
  <c r="F285" i="1"/>
  <c r="F54" i="1"/>
  <c r="F128" i="1"/>
  <c r="F23" i="1"/>
  <c r="F97" i="1"/>
  <c r="F201" i="1"/>
  <c r="F202" i="1"/>
  <c r="F214" i="1"/>
  <c r="F49" i="1"/>
  <c r="F263" i="1"/>
  <c r="F321" i="1"/>
  <c r="G107" i="1"/>
  <c r="G142" i="1"/>
  <c r="G25" i="1"/>
  <c r="G58" i="1"/>
  <c r="G13" i="1"/>
  <c r="G191" i="1"/>
  <c r="G39" i="1"/>
  <c r="G303" i="1"/>
  <c r="G95" i="1"/>
  <c r="G127" i="1"/>
  <c r="G285" i="1"/>
  <c r="G54" i="1"/>
  <c r="G128" i="1"/>
  <c r="G23" i="1"/>
  <c r="G97" i="1"/>
  <c r="G201" i="1"/>
  <c r="G202" i="1"/>
  <c r="G214" i="1"/>
  <c r="G49" i="1"/>
  <c r="G263" i="1"/>
  <c r="G321" i="1"/>
  <c r="E281" i="6"/>
  <c r="E270" i="6"/>
  <c r="E22" i="6"/>
  <c r="E38" i="6"/>
  <c r="E339" i="6"/>
  <c r="E225" i="6"/>
  <c r="E305" i="6"/>
  <c r="E40" i="6"/>
  <c r="E179" i="6"/>
  <c r="E276" i="6"/>
  <c r="E27" i="6"/>
  <c r="E76" i="6"/>
  <c r="E176" i="6"/>
  <c r="E272" i="6"/>
  <c r="E51" i="6"/>
  <c r="E340" i="6"/>
  <c r="E260" i="6"/>
  <c r="E9" i="6"/>
  <c r="E330" i="6"/>
  <c r="E228" i="6"/>
  <c r="E301" i="6"/>
  <c r="E297" i="6"/>
  <c r="E188" i="6"/>
  <c r="E166" i="6"/>
  <c r="E342" i="6"/>
  <c r="E240" i="6"/>
  <c r="E10" i="6"/>
  <c r="E36" i="6"/>
  <c r="E127" i="6"/>
  <c r="E160" i="6"/>
  <c r="E197" i="6"/>
  <c r="E34" i="6"/>
  <c r="E26" i="6"/>
  <c r="E227" i="6"/>
  <c r="E292" i="6"/>
  <c r="E104" i="6"/>
  <c r="E32" i="6"/>
  <c r="E264" i="6"/>
  <c r="E309" i="6"/>
  <c r="E77" i="6"/>
  <c r="E302" i="6"/>
  <c r="E83" i="6"/>
  <c r="E18" i="6"/>
  <c r="E308" i="6"/>
  <c r="E180" i="6"/>
  <c r="E212" i="6"/>
  <c r="E300" i="6"/>
  <c r="E175" i="6"/>
  <c r="E298" i="6"/>
  <c r="E167" i="6"/>
  <c r="E187" i="6"/>
  <c r="E116" i="6"/>
  <c r="E232" i="6"/>
  <c r="E182" i="6"/>
  <c r="E251" i="6"/>
  <c r="E261" i="6"/>
  <c r="E205" i="6"/>
  <c r="E333" i="6"/>
  <c r="E265" i="6"/>
  <c r="E318" i="6"/>
  <c r="E162" i="6"/>
  <c r="E314" i="6"/>
  <c r="E280" i="6"/>
  <c r="E344" i="6"/>
  <c r="E317" i="6"/>
  <c r="E72" i="6"/>
  <c r="E12" i="6"/>
  <c r="E85" i="6"/>
  <c r="E277" i="6"/>
  <c r="E24" i="6"/>
  <c r="E213" i="6"/>
  <c r="E273" i="6"/>
  <c r="E287" i="6"/>
  <c r="E327" i="6"/>
  <c r="E148" i="6"/>
  <c r="E263" i="6"/>
  <c r="E239" i="6"/>
  <c r="E121" i="6"/>
  <c r="E181" i="6"/>
  <c r="E43" i="6"/>
  <c r="E94" i="6"/>
  <c r="E13" i="6"/>
  <c r="E230" i="6"/>
  <c r="E203" i="6"/>
  <c r="E161" i="6"/>
  <c r="E56" i="6"/>
  <c r="E65" i="6"/>
  <c r="E90" i="6"/>
  <c r="E217" i="6"/>
  <c r="E183" i="6"/>
  <c r="E349" i="6"/>
  <c r="E341" i="6"/>
  <c r="E119" i="6"/>
  <c r="E208" i="6"/>
  <c r="E336" i="6"/>
  <c r="E110" i="6"/>
  <c r="E61" i="6"/>
  <c r="E204" i="6"/>
  <c r="E283" i="6"/>
  <c r="E78" i="6"/>
  <c r="E223" i="6"/>
  <c r="E130" i="6"/>
  <c r="E304" i="6"/>
  <c r="E141" i="6"/>
  <c r="E351" i="6"/>
  <c r="E153" i="6"/>
  <c r="E57" i="6"/>
  <c r="E249" i="6"/>
  <c r="E193" i="6"/>
  <c r="E345" i="6"/>
  <c r="E248" i="6"/>
  <c r="E257" i="6"/>
  <c r="E46" i="6"/>
  <c r="E93" i="6"/>
  <c r="E20" i="6"/>
  <c r="E122" i="6"/>
  <c r="E64" i="6"/>
  <c r="E319" i="6"/>
  <c r="E285" i="6"/>
  <c r="E114" i="6"/>
  <c r="E158" i="6"/>
  <c r="E126" i="6"/>
  <c r="E92" i="6"/>
  <c r="E338" i="6"/>
  <c r="E117" i="6"/>
  <c r="E146" i="6"/>
  <c r="E140" i="6"/>
  <c r="E135" i="6"/>
  <c r="E185" i="6"/>
  <c r="E189" i="6"/>
  <c r="E222" i="6"/>
  <c r="E245" i="6"/>
  <c r="E79" i="6"/>
  <c r="E321" i="6"/>
  <c r="E271" i="6"/>
  <c r="E19" i="6"/>
  <c r="E312" i="6"/>
  <c r="E191" i="6"/>
  <c r="E69" i="6"/>
  <c r="E296" i="6"/>
  <c r="E190" i="6"/>
  <c r="E101" i="6"/>
  <c r="E147" i="6"/>
  <c r="E237" i="6"/>
  <c r="E229" i="6"/>
  <c r="E196" i="6"/>
  <c r="E192" i="6"/>
  <c r="E221" i="6"/>
  <c r="E33" i="6"/>
  <c r="E329" i="6"/>
  <c r="E44" i="6"/>
  <c r="E306" i="6"/>
  <c r="E282" i="6"/>
  <c r="E194" i="6"/>
  <c r="E62" i="6"/>
  <c r="E48" i="6"/>
  <c r="E157" i="6"/>
  <c r="E334" i="6"/>
  <c r="E258" i="6"/>
  <c r="E70" i="6"/>
  <c r="E348" i="6"/>
  <c r="E82" i="6"/>
  <c r="E150" i="6"/>
  <c r="E350" i="6"/>
  <c r="E173" i="6"/>
  <c r="E269" i="6"/>
  <c r="E143" i="6"/>
  <c r="E231" i="6"/>
  <c r="E207" i="6"/>
  <c r="E178" i="6"/>
  <c r="E45" i="6"/>
  <c r="E129" i="6"/>
  <c r="E214" i="6"/>
  <c r="E243" i="6"/>
  <c r="E23" i="6"/>
  <c r="E320" i="6"/>
  <c r="E238" i="6"/>
  <c r="E254" i="6"/>
  <c r="E128" i="6"/>
  <c r="E288" i="6"/>
  <c r="E195" i="6"/>
  <c r="E25" i="6"/>
  <c r="E299" i="6"/>
  <c r="E172" i="6"/>
  <c r="E343" i="6"/>
  <c r="E60" i="6"/>
  <c r="E8" i="6"/>
  <c r="E346" i="6"/>
  <c r="E328" i="6"/>
  <c r="E303" i="6"/>
  <c r="E152" i="6"/>
  <c r="E284" i="6"/>
  <c r="E307" i="6"/>
  <c r="E98" i="6"/>
  <c r="E63" i="6"/>
  <c r="E54" i="6"/>
  <c r="E169" i="6"/>
  <c r="E337" i="6"/>
  <c r="E139" i="6"/>
  <c r="E81" i="6"/>
  <c r="E149" i="6"/>
  <c r="E107" i="6"/>
  <c r="E109" i="6"/>
  <c r="E253" i="6"/>
  <c r="E103" i="6"/>
  <c r="E156" i="6"/>
  <c r="E268" i="6"/>
  <c r="E289" i="6"/>
  <c r="E168" i="6"/>
  <c r="E347" i="6"/>
  <c r="E106" i="6"/>
  <c r="E7" i="6"/>
  <c r="E100" i="6"/>
  <c r="E55" i="6"/>
  <c r="E322" i="6"/>
  <c r="E118" i="6"/>
  <c r="E155" i="6"/>
  <c r="E266" i="6"/>
  <c r="E316" i="6"/>
  <c r="E131" i="6"/>
  <c r="E132" i="6"/>
  <c r="E39" i="6"/>
  <c r="E75" i="6"/>
  <c r="E262" i="6"/>
  <c r="E17" i="6"/>
  <c r="E88" i="6"/>
  <c r="E211" i="6"/>
  <c r="E87" i="6"/>
  <c r="E11" i="6"/>
  <c r="E89" i="6"/>
  <c r="E133" i="6"/>
  <c r="E58" i="6"/>
  <c r="E244" i="6"/>
  <c r="E91" i="6"/>
  <c r="E50" i="6"/>
  <c r="E184" i="6"/>
  <c r="E115" i="6"/>
  <c r="E290" i="6"/>
  <c r="E218" i="6"/>
  <c r="E174" i="6"/>
  <c r="E154" i="6"/>
  <c r="E21" i="6"/>
  <c r="E256" i="6"/>
  <c r="E59" i="6"/>
  <c r="E293" i="6"/>
  <c r="E242" i="6"/>
  <c r="E206" i="6"/>
  <c r="E315" i="6"/>
  <c r="E37" i="6"/>
  <c r="E335" i="6"/>
  <c r="E102" i="6"/>
  <c r="E215" i="6"/>
  <c r="E186" i="6"/>
  <c r="E108" i="6"/>
  <c r="E294" i="6"/>
  <c r="E250" i="6"/>
  <c r="E105" i="6"/>
  <c r="E246" i="6"/>
  <c r="E49" i="6"/>
  <c r="E216" i="6"/>
  <c r="E226" i="6"/>
  <c r="E310" i="6"/>
  <c r="E142" i="6"/>
  <c r="E286" i="6"/>
  <c r="E134" i="6"/>
  <c r="E323" i="6"/>
  <c r="E144" i="6"/>
  <c r="E14" i="6"/>
  <c r="E291" i="6"/>
  <c r="E247" i="6"/>
  <c r="E47" i="6"/>
  <c r="E120" i="6"/>
  <c r="E159" i="6"/>
  <c r="E80" i="6"/>
  <c r="E35" i="6"/>
  <c r="E97" i="6"/>
  <c r="F281" i="6"/>
  <c r="F270" i="6"/>
  <c r="F22" i="6"/>
  <c r="F38" i="6"/>
  <c r="F339" i="6"/>
  <c r="F225" i="6"/>
  <c r="F305" i="6"/>
  <c r="F40" i="6"/>
  <c r="F179" i="6"/>
  <c r="F276" i="6"/>
  <c r="F27" i="6"/>
  <c r="F76" i="6"/>
  <c r="F176" i="6"/>
  <c r="F272" i="6"/>
  <c r="F51" i="6"/>
  <c r="F340" i="6"/>
  <c r="F260" i="6"/>
  <c r="F9" i="6"/>
  <c r="F330" i="6"/>
  <c r="F228" i="6"/>
  <c r="F301" i="6"/>
  <c r="F297" i="6"/>
  <c r="F188" i="6"/>
  <c r="F166" i="6"/>
  <c r="F342" i="6"/>
  <c r="F240" i="6"/>
  <c r="F10" i="6"/>
  <c r="F36" i="6"/>
  <c r="F127" i="6"/>
  <c r="F160" i="6"/>
  <c r="F197" i="6"/>
  <c r="F34" i="6"/>
  <c r="F26" i="6"/>
  <c r="F227" i="6"/>
  <c r="F292" i="6"/>
  <c r="F104" i="6"/>
  <c r="F32" i="6"/>
  <c r="F264" i="6"/>
  <c r="F309" i="6"/>
  <c r="F77" i="6"/>
  <c r="F302" i="6"/>
  <c r="F83" i="6"/>
  <c r="F18" i="6"/>
  <c r="F308" i="6"/>
  <c r="F180" i="6"/>
  <c r="F212" i="6"/>
  <c r="F300" i="6"/>
  <c r="F175" i="6"/>
  <c r="F298" i="6"/>
  <c r="F167" i="6"/>
  <c r="F187" i="6"/>
  <c r="F116" i="6"/>
  <c r="F232" i="6"/>
  <c r="F182" i="6"/>
  <c r="F251" i="6"/>
  <c r="F261" i="6"/>
  <c r="F205" i="6"/>
  <c r="F333" i="6"/>
  <c r="F265" i="6"/>
  <c r="F318" i="6"/>
  <c r="F162" i="6"/>
  <c r="F314" i="6"/>
  <c r="F280" i="6"/>
  <c r="F344" i="6"/>
  <c r="F317" i="6"/>
  <c r="F72" i="6"/>
  <c r="F12" i="6"/>
  <c r="F85" i="6"/>
  <c r="F277" i="6"/>
  <c r="F24" i="6"/>
  <c r="F213" i="6"/>
  <c r="F273" i="6"/>
  <c r="F287" i="6"/>
  <c r="F327" i="6"/>
  <c r="F148" i="6"/>
  <c r="F263" i="6"/>
  <c r="F239" i="6"/>
  <c r="F121" i="6"/>
  <c r="F181" i="6"/>
  <c r="F43" i="6"/>
  <c r="F94" i="6"/>
  <c r="F13" i="6"/>
  <c r="F230" i="6"/>
  <c r="F203" i="6"/>
  <c r="F161" i="6"/>
  <c r="F56" i="6"/>
  <c r="F65" i="6"/>
  <c r="F90" i="6"/>
  <c r="F217" i="6"/>
  <c r="F183" i="6"/>
  <c r="F349" i="6"/>
  <c r="F341" i="6"/>
  <c r="F119" i="6"/>
  <c r="F208" i="6"/>
  <c r="F336" i="6"/>
  <c r="F110" i="6"/>
  <c r="F61" i="6"/>
  <c r="F204" i="6"/>
  <c r="F283" i="6"/>
  <c r="F78" i="6"/>
  <c r="F223" i="6"/>
  <c r="F130" i="6"/>
  <c r="F304" i="6"/>
  <c r="F141" i="6"/>
  <c r="F351" i="6"/>
  <c r="F153" i="6"/>
  <c r="F57" i="6"/>
  <c r="F249" i="6"/>
  <c r="F193" i="6"/>
  <c r="F345" i="6"/>
  <c r="F248" i="6"/>
  <c r="F257" i="6"/>
  <c r="F46" i="6"/>
  <c r="F93" i="6"/>
  <c r="F20" i="6"/>
  <c r="F122" i="6"/>
  <c r="F64" i="6"/>
  <c r="F319" i="6"/>
  <c r="F285" i="6"/>
  <c r="F114" i="6"/>
  <c r="F158" i="6"/>
  <c r="F126" i="6"/>
  <c r="F92" i="6"/>
  <c r="F338" i="6"/>
  <c r="F117" i="6"/>
  <c r="F146" i="6"/>
  <c r="F140" i="6"/>
  <c r="F135" i="6"/>
  <c r="F185" i="6"/>
  <c r="F189" i="6"/>
  <c r="F222" i="6"/>
  <c r="F245" i="6"/>
  <c r="F79" i="6"/>
  <c r="F321" i="6"/>
  <c r="F271" i="6"/>
  <c r="F19" i="6"/>
  <c r="F312" i="6"/>
  <c r="F191" i="6"/>
  <c r="F69" i="6"/>
  <c r="F296" i="6"/>
  <c r="F190" i="6"/>
  <c r="F101" i="6"/>
  <c r="F147" i="6"/>
  <c r="F237" i="6"/>
  <c r="F229" i="6"/>
  <c r="F196" i="6"/>
  <c r="F192" i="6"/>
  <c r="F221" i="6"/>
  <c r="F33" i="6"/>
  <c r="F329" i="6"/>
  <c r="F44" i="6"/>
  <c r="F306" i="6"/>
  <c r="F282" i="6"/>
  <c r="F194" i="6"/>
  <c r="F62" i="6"/>
  <c r="F48" i="6"/>
  <c r="F157" i="6"/>
  <c r="F334" i="6"/>
  <c r="F258" i="6"/>
  <c r="F70" i="6"/>
  <c r="F348" i="6"/>
  <c r="F82" i="6"/>
  <c r="F150" i="6"/>
  <c r="F350" i="6"/>
  <c r="F173" i="6"/>
  <c r="F269" i="6"/>
  <c r="F143" i="6"/>
  <c r="F231" i="6"/>
  <c r="F207" i="6"/>
  <c r="F178" i="6"/>
  <c r="F45" i="6"/>
  <c r="F129" i="6"/>
  <c r="F214" i="6"/>
  <c r="F243" i="6"/>
  <c r="F23" i="6"/>
  <c r="F320" i="6"/>
  <c r="F238" i="6"/>
  <c r="F254" i="6"/>
  <c r="F128" i="6"/>
  <c r="F288" i="6"/>
  <c r="F195" i="6"/>
  <c r="F25" i="6"/>
  <c r="F299" i="6"/>
  <c r="F172" i="6"/>
  <c r="F343" i="6"/>
  <c r="F60" i="6"/>
  <c r="F8" i="6"/>
  <c r="F346" i="6"/>
  <c r="F328" i="6"/>
  <c r="F303" i="6"/>
  <c r="F152" i="6"/>
  <c r="F284" i="6"/>
  <c r="F307" i="6"/>
  <c r="F98" i="6"/>
  <c r="F63" i="6"/>
  <c r="F54" i="6"/>
  <c r="F169" i="6"/>
  <c r="F337" i="6"/>
  <c r="F139" i="6"/>
  <c r="F81" i="6"/>
  <c r="F149" i="6"/>
  <c r="F107" i="6"/>
  <c r="F109" i="6"/>
  <c r="F253" i="6"/>
  <c r="F103" i="6"/>
  <c r="F156" i="6"/>
  <c r="F268" i="6"/>
  <c r="F289" i="6"/>
  <c r="F168" i="6"/>
  <c r="F347" i="6"/>
  <c r="F106" i="6"/>
  <c r="F7" i="6"/>
  <c r="F100" i="6"/>
  <c r="F55" i="6"/>
  <c r="F322" i="6"/>
  <c r="F118" i="6"/>
  <c r="F155" i="6"/>
  <c r="F266" i="6"/>
  <c r="F316" i="6"/>
  <c r="F131" i="6"/>
  <c r="F132" i="6"/>
  <c r="F39" i="6"/>
  <c r="F75" i="6"/>
  <c r="F262" i="6"/>
  <c r="F17" i="6"/>
  <c r="F88" i="6"/>
  <c r="F211" i="6"/>
  <c r="F87" i="6"/>
  <c r="F11" i="6"/>
  <c r="F89" i="6"/>
  <c r="F133" i="6"/>
  <c r="F58" i="6"/>
  <c r="F244" i="6"/>
  <c r="F91" i="6"/>
  <c r="F50" i="6"/>
  <c r="F184" i="6"/>
  <c r="F115" i="6"/>
  <c r="F290" i="6"/>
  <c r="F218" i="6"/>
  <c r="F174" i="6"/>
  <c r="F154" i="6"/>
  <c r="F21" i="6"/>
  <c r="F256" i="6"/>
  <c r="F59" i="6"/>
  <c r="F293" i="6"/>
  <c r="F242" i="6"/>
  <c r="F206" i="6"/>
  <c r="F315" i="6"/>
  <c r="F37" i="6"/>
  <c r="F335" i="6"/>
  <c r="F102" i="6"/>
  <c r="F215" i="6"/>
  <c r="F186" i="6"/>
  <c r="F108" i="6"/>
  <c r="F294" i="6"/>
  <c r="F250" i="6"/>
  <c r="F105" i="6"/>
  <c r="F246" i="6"/>
  <c r="F49" i="6"/>
  <c r="F216" i="6"/>
  <c r="F226" i="6"/>
  <c r="F310" i="6"/>
  <c r="F142" i="6"/>
  <c r="F286" i="6"/>
  <c r="F134" i="6"/>
  <c r="F323" i="6"/>
  <c r="F144" i="6"/>
  <c r="F14" i="6"/>
  <c r="F291" i="6"/>
  <c r="F247" i="6"/>
  <c r="F47" i="6"/>
  <c r="F120" i="6"/>
  <c r="F159" i="6"/>
  <c r="F80" i="6"/>
  <c r="F35" i="6"/>
  <c r="F97" i="6"/>
  <c r="G281" i="6"/>
  <c r="G270" i="6"/>
  <c r="G22" i="6"/>
  <c r="G38" i="6"/>
  <c r="G339" i="6"/>
  <c r="G225" i="6"/>
  <c r="G305" i="6"/>
  <c r="G40" i="6"/>
  <c r="G179" i="6"/>
  <c r="G276" i="6"/>
  <c r="G27" i="6"/>
  <c r="G76" i="6"/>
  <c r="G176" i="6"/>
  <c r="G272" i="6"/>
  <c r="G51" i="6"/>
  <c r="G340" i="6"/>
  <c r="G260" i="6"/>
  <c r="G9" i="6"/>
  <c r="G330" i="6"/>
  <c r="G228" i="6"/>
  <c r="G301" i="6"/>
  <c r="G297" i="6"/>
  <c r="G188" i="6"/>
  <c r="G166" i="6"/>
  <c r="G342" i="6"/>
  <c r="G240" i="6"/>
  <c r="G10" i="6"/>
  <c r="G36" i="6"/>
  <c r="G127" i="6"/>
  <c r="G160" i="6"/>
  <c r="G197" i="6"/>
  <c r="G34" i="6"/>
  <c r="G26" i="6"/>
  <c r="G227" i="6"/>
  <c r="G292" i="6"/>
  <c r="G104" i="6"/>
  <c r="G32" i="6"/>
  <c r="G264" i="6"/>
  <c r="G309" i="6"/>
  <c r="G77" i="6"/>
  <c r="G302" i="6"/>
  <c r="G83" i="6"/>
  <c r="G18" i="6"/>
  <c r="G308" i="6"/>
  <c r="G180" i="6"/>
  <c r="G212" i="6"/>
  <c r="G300" i="6"/>
  <c r="G175" i="6"/>
  <c r="G298" i="6"/>
  <c r="G167" i="6"/>
  <c r="G187" i="6"/>
  <c r="G116" i="6"/>
  <c r="G232" i="6"/>
  <c r="G182" i="6"/>
  <c r="G251" i="6"/>
  <c r="G261" i="6"/>
  <c r="G205" i="6"/>
  <c r="G333" i="6"/>
  <c r="G265" i="6"/>
  <c r="G318" i="6"/>
  <c r="G162" i="6"/>
  <c r="G314" i="6"/>
  <c r="G280" i="6"/>
  <c r="G344" i="6"/>
  <c r="G317" i="6"/>
  <c r="G72" i="6"/>
  <c r="G12" i="6"/>
  <c r="G85" i="6"/>
  <c r="G277" i="6"/>
  <c r="G24" i="6"/>
  <c r="G213" i="6"/>
  <c r="G273" i="6"/>
  <c r="G287" i="6"/>
  <c r="G327" i="6"/>
  <c r="G148" i="6"/>
  <c r="G263" i="6"/>
  <c r="G239" i="6"/>
  <c r="G121" i="6"/>
  <c r="G181" i="6"/>
  <c r="G43" i="6"/>
  <c r="G94" i="6"/>
  <c r="G13" i="6"/>
  <c r="G230" i="6"/>
  <c r="G203" i="6"/>
  <c r="G161" i="6"/>
  <c r="G56" i="6"/>
  <c r="G65" i="6"/>
  <c r="G90" i="6"/>
  <c r="G217" i="6"/>
  <c r="G183" i="6"/>
  <c r="G349" i="6"/>
  <c r="G341" i="6"/>
  <c r="G119" i="6"/>
  <c r="G208" i="6"/>
  <c r="G336" i="6"/>
  <c r="G110" i="6"/>
  <c r="G61" i="6"/>
  <c r="G204" i="6"/>
  <c r="G283" i="6"/>
  <c r="G78" i="6"/>
  <c r="G223" i="6"/>
  <c r="G130" i="6"/>
  <c r="G304" i="6"/>
  <c r="G141" i="6"/>
  <c r="G351" i="6"/>
  <c r="G153" i="6"/>
  <c r="G57" i="6"/>
  <c r="G249" i="6"/>
  <c r="G193" i="6"/>
  <c r="G345" i="6"/>
  <c r="G248" i="6"/>
  <c r="G257" i="6"/>
  <c r="G46" i="6"/>
  <c r="G93" i="6"/>
  <c r="G20" i="6"/>
  <c r="G122" i="6"/>
  <c r="G64" i="6"/>
  <c r="G319" i="6"/>
  <c r="G285" i="6"/>
  <c r="G114" i="6"/>
  <c r="G158" i="6"/>
  <c r="G126" i="6"/>
  <c r="G92" i="6"/>
  <c r="G338" i="6"/>
  <c r="G117" i="6"/>
  <c r="G146" i="6"/>
  <c r="G140" i="6"/>
  <c r="G135" i="6"/>
  <c r="G185" i="6"/>
  <c r="G189" i="6"/>
  <c r="G222" i="6"/>
  <c r="G245" i="6"/>
  <c r="G79" i="6"/>
  <c r="G321" i="6"/>
  <c r="G271" i="6"/>
  <c r="G19" i="6"/>
  <c r="G312" i="6"/>
  <c r="G191" i="6"/>
  <c r="G69" i="6"/>
  <c r="G296" i="6"/>
  <c r="G190" i="6"/>
  <c r="G101" i="6"/>
  <c r="G147" i="6"/>
  <c r="G237" i="6"/>
  <c r="G229" i="6"/>
  <c r="G196" i="6"/>
  <c r="G192" i="6"/>
  <c r="G221" i="6"/>
  <c r="G33" i="6"/>
  <c r="G329" i="6"/>
  <c r="G44" i="6"/>
  <c r="G306" i="6"/>
  <c r="G282" i="6"/>
  <c r="G194" i="6"/>
  <c r="G62" i="6"/>
  <c r="G48" i="6"/>
  <c r="G157" i="6"/>
  <c r="G334" i="6"/>
  <c r="G258" i="6"/>
  <c r="G70" i="6"/>
  <c r="G348" i="6"/>
  <c r="G82" i="6"/>
  <c r="G150" i="6"/>
  <c r="G350" i="6"/>
  <c r="G173" i="6"/>
  <c r="G269" i="6"/>
  <c r="G143" i="6"/>
  <c r="G231" i="6"/>
  <c r="G207" i="6"/>
  <c r="G178" i="6"/>
  <c r="G45" i="6"/>
  <c r="G129" i="6"/>
  <c r="G214" i="6"/>
  <c r="G243" i="6"/>
  <c r="G23" i="6"/>
  <c r="G320" i="6"/>
  <c r="G238" i="6"/>
  <c r="G254" i="6"/>
  <c r="G128" i="6"/>
  <c r="G288" i="6"/>
  <c r="G195" i="6"/>
  <c r="G25" i="6"/>
  <c r="G299" i="6"/>
  <c r="G172" i="6"/>
  <c r="G343" i="6"/>
  <c r="G60" i="6"/>
  <c r="G8" i="6"/>
  <c r="G346" i="6"/>
  <c r="G328" i="6"/>
  <c r="G303" i="6"/>
  <c r="G152" i="6"/>
  <c r="G284" i="6"/>
  <c r="G307" i="6"/>
  <c r="G98" i="6"/>
  <c r="G63" i="6"/>
  <c r="G54" i="6"/>
  <c r="G169" i="6"/>
  <c r="G337" i="6"/>
  <c r="G139" i="6"/>
  <c r="G81" i="6"/>
  <c r="G149" i="6"/>
  <c r="G107" i="6"/>
  <c r="G109" i="6"/>
  <c r="G253" i="6"/>
  <c r="G103" i="6"/>
  <c r="G156" i="6"/>
  <c r="G268" i="6"/>
  <c r="G289" i="6"/>
  <c r="G168" i="6"/>
  <c r="G347" i="6"/>
  <c r="G106" i="6"/>
  <c r="G7" i="6"/>
  <c r="G100" i="6"/>
  <c r="G55" i="6"/>
  <c r="G322" i="6"/>
  <c r="G118" i="6"/>
  <c r="G155" i="6"/>
  <c r="G266" i="6"/>
  <c r="G316" i="6"/>
  <c r="G131" i="6"/>
  <c r="G132" i="6"/>
  <c r="G39" i="6"/>
  <c r="G75" i="6"/>
  <c r="G262" i="6"/>
  <c r="G17" i="6"/>
  <c r="G88" i="6"/>
  <c r="G211" i="6"/>
  <c r="G87" i="6"/>
  <c r="G11" i="6"/>
  <c r="G89" i="6"/>
  <c r="G133" i="6"/>
  <c r="G58" i="6"/>
  <c r="G244" i="6"/>
  <c r="G91" i="6"/>
  <c r="G50" i="6"/>
  <c r="G184" i="6"/>
  <c r="G115" i="6"/>
  <c r="G290" i="6"/>
  <c r="G218" i="6"/>
  <c r="G174" i="6"/>
  <c r="G154" i="6"/>
  <c r="G21" i="6"/>
  <c r="G256" i="6"/>
  <c r="G59" i="6"/>
  <c r="G293" i="6"/>
  <c r="G242" i="6"/>
  <c r="G206" i="6"/>
  <c r="G315" i="6"/>
  <c r="G37" i="6"/>
  <c r="G335" i="6"/>
  <c r="G102" i="6"/>
  <c r="G215" i="6"/>
  <c r="G186" i="6"/>
  <c r="G108" i="6"/>
  <c r="G294" i="6"/>
  <c r="G250" i="6"/>
  <c r="G105" i="6"/>
  <c r="G246" i="6"/>
  <c r="G49" i="6"/>
  <c r="G216" i="6"/>
  <c r="G226" i="6"/>
  <c r="G310" i="6"/>
  <c r="G142" i="6"/>
  <c r="G286" i="6"/>
  <c r="G134" i="6"/>
  <c r="G323" i="6"/>
  <c r="G144" i="6"/>
  <c r="G14" i="6"/>
  <c r="G291" i="6"/>
  <c r="G247" i="6"/>
  <c r="G47" i="6"/>
  <c r="G120" i="6"/>
  <c r="G159" i="6"/>
  <c r="G80" i="6"/>
  <c r="G35" i="6"/>
  <c r="G97" i="6"/>
  <c r="F302" i="1"/>
  <c r="F22" i="1"/>
  <c r="F72" i="1"/>
  <c r="F253" i="1"/>
  <c r="F305" i="1"/>
  <c r="F150" i="1"/>
  <c r="F264" i="1"/>
  <c r="F111" i="1"/>
  <c r="F148" i="1"/>
  <c r="F118" i="1"/>
  <c r="F344" i="1"/>
  <c r="F119" i="1"/>
  <c r="F296" i="1"/>
  <c r="F269" i="1"/>
  <c r="F171" i="1"/>
  <c r="F178" i="1"/>
  <c r="F21" i="1"/>
  <c r="F186" i="1"/>
  <c r="F50" i="1"/>
  <c r="F40" i="1"/>
  <c r="F51" i="1"/>
  <c r="F240" i="1"/>
  <c r="F238" i="1"/>
  <c r="F193" i="1"/>
  <c r="F277" i="1"/>
  <c r="F258" i="1"/>
  <c r="F231" i="1"/>
  <c r="F66" i="1"/>
  <c r="F138" i="1"/>
  <c r="F123" i="1"/>
  <c r="F188" i="1"/>
  <c r="F29" i="1"/>
  <c r="F337" i="1"/>
  <c r="F63" i="1"/>
  <c r="F300" i="1"/>
  <c r="F163" i="1"/>
  <c r="F8" i="1"/>
  <c r="F282" i="1"/>
  <c r="F200" i="1"/>
  <c r="F256" i="1"/>
  <c r="F56" i="1"/>
  <c r="F279" i="1"/>
  <c r="F160" i="1"/>
  <c r="F273" i="1"/>
  <c r="F47" i="1"/>
  <c r="F297" i="1"/>
  <c r="F215" i="1"/>
  <c r="F199" i="1"/>
  <c r="F342" i="1"/>
  <c r="F38" i="1"/>
  <c r="F275" i="1"/>
  <c r="F203" i="1"/>
  <c r="F98" i="1"/>
  <c r="F76" i="1"/>
  <c r="F152" i="1"/>
  <c r="F153" i="1"/>
  <c r="F234" i="1"/>
  <c r="F268" i="1"/>
  <c r="F298" i="1"/>
  <c r="F6" i="1"/>
  <c r="F44" i="1"/>
  <c r="F190" i="1"/>
  <c r="F323" i="1"/>
  <c r="F78" i="1"/>
  <c r="F104" i="1"/>
  <c r="F289" i="1"/>
  <c r="F36" i="1"/>
  <c r="F267" i="1"/>
  <c r="F145" i="1"/>
  <c r="F70" i="1"/>
  <c r="F281" i="1"/>
  <c r="F141" i="1"/>
  <c r="F320" i="1"/>
  <c r="F169" i="1"/>
  <c r="F319" i="1"/>
  <c r="F112" i="1"/>
  <c r="F32" i="1"/>
  <c r="F108" i="1"/>
  <c r="F61" i="1"/>
  <c r="F341" i="1"/>
  <c r="F43" i="1"/>
  <c r="F291" i="1"/>
  <c r="F222" i="1"/>
  <c r="F340" i="1"/>
  <c r="F130" i="1"/>
  <c r="F307" i="1"/>
  <c r="F53" i="1"/>
  <c r="F338" i="1"/>
  <c r="F185" i="1"/>
  <c r="F230" i="1"/>
  <c r="F239" i="1"/>
  <c r="F194" i="1"/>
  <c r="F287" i="1"/>
  <c r="F175" i="1"/>
  <c r="F274" i="1"/>
  <c r="F333" i="1"/>
  <c r="F26" i="1"/>
  <c r="F217" i="1"/>
  <c r="F324" i="1"/>
  <c r="F249" i="1"/>
  <c r="F33" i="1"/>
  <c r="F290" i="1"/>
  <c r="F237" i="1"/>
  <c r="F105" i="1"/>
  <c r="F247" i="1"/>
  <c r="F306" i="1"/>
  <c r="F330" i="1"/>
  <c r="F209" i="1"/>
  <c r="F316" i="1"/>
  <c r="F57" i="1"/>
  <c r="F208" i="1"/>
  <c r="F7" i="1"/>
  <c r="F248" i="1"/>
  <c r="F89" i="1"/>
  <c r="F30" i="1"/>
  <c r="F276" i="1"/>
  <c r="F219" i="1"/>
  <c r="F259" i="1"/>
  <c r="F15" i="1"/>
  <c r="F96" i="1"/>
  <c r="F255" i="1"/>
  <c r="F139" i="1"/>
  <c r="F83" i="1"/>
  <c r="F350" i="1"/>
  <c r="F71" i="1"/>
  <c r="F77" i="1"/>
  <c r="F270" i="1"/>
  <c r="F345" i="1"/>
  <c r="F114" i="1"/>
  <c r="F322" i="1"/>
  <c r="F243" i="1"/>
  <c r="F11" i="1"/>
  <c r="F278" i="1"/>
  <c r="F106" i="1"/>
  <c r="F35" i="1"/>
  <c r="F213" i="1"/>
  <c r="F233" i="1"/>
  <c r="F232" i="1"/>
  <c r="F109" i="1"/>
  <c r="F224" i="1"/>
  <c r="F317" i="1"/>
  <c r="F12" i="1"/>
  <c r="F115" i="1"/>
  <c r="F254" i="1"/>
  <c r="F90" i="1"/>
  <c r="F37" i="1"/>
  <c r="F156" i="1"/>
  <c r="F168" i="1"/>
  <c r="F100" i="1"/>
  <c r="F140" i="1"/>
  <c r="F308" i="1"/>
  <c r="F189" i="1"/>
  <c r="F82" i="1"/>
  <c r="F91" i="1"/>
  <c r="F173" i="1"/>
  <c r="F165" i="1"/>
  <c r="F122" i="1"/>
  <c r="F252" i="1"/>
  <c r="F176" i="1"/>
  <c r="F75" i="1"/>
  <c r="F315" i="1"/>
  <c r="F155" i="1"/>
  <c r="F351" i="1"/>
  <c r="F225" i="1"/>
  <c r="F67" i="1"/>
  <c r="F10" i="1"/>
  <c r="F241" i="1"/>
  <c r="F343" i="1"/>
  <c r="F73" i="1"/>
  <c r="F295" i="1"/>
  <c r="F151" i="1"/>
  <c r="F288" i="1"/>
  <c r="F304" i="1"/>
  <c r="F64" i="1"/>
  <c r="F251" i="1"/>
  <c r="F227" i="1"/>
  <c r="F257" i="1"/>
  <c r="F34" i="1"/>
  <c r="F31" i="1"/>
  <c r="F187" i="1"/>
  <c r="F154" i="1"/>
  <c r="F242" i="1"/>
  <c r="F24" i="1"/>
  <c r="F68" i="1"/>
  <c r="F80" i="1"/>
  <c r="F318" i="1"/>
  <c r="F167" i="1"/>
  <c r="F221" i="1"/>
  <c r="F74" i="1"/>
  <c r="F48" i="1"/>
  <c r="F147" i="1"/>
  <c r="F286" i="1"/>
  <c r="F220" i="1"/>
  <c r="F170" i="1"/>
  <c r="F244" i="1"/>
  <c r="F65" i="1"/>
  <c r="F339" i="1"/>
  <c r="F331" i="1"/>
  <c r="F301" i="1"/>
  <c r="F271" i="1"/>
  <c r="F136" i="1"/>
  <c r="F164" i="1"/>
  <c r="F81" i="1"/>
  <c r="F9" i="1"/>
  <c r="F328" i="1"/>
  <c r="F204" i="1"/>
  <c r="F42" i="1"/>
  <c r="F121" i="1"/>
  <c r="F99" i="1"/>
  <c r="F55" i="1"/>
  <c r="F41" i="1"/>
  <c r="F195" i="1"/>
  <c r="F113" i="1"/>
  <c r="F52" i="1"/>
  <c r="F129" i="1"/>
  <c r="F174" i="1"/>
  <c r="F166" i="1"/>
  <c r="F161" i="1"/>
  <c r="F131" i="1"/>
  <c r="F143" i="1"/>
  <c r="F218" i="1"/>
  <c r="F226" i="1"/>
  <c r="F207" i="1"/>
  <c r="F309" i="1"/>
  <c r="F157" i="1"/>
  <c r="F299" i="1"/>
  <c r="F101" i="1"/>
  <c r="F137" i="1"/>
  <c r="F62" i="1"/>
  <c r="F235" i="1"/>
  <c r="F177" i="1"/>
  <c r="F16" i="1"/>
  <c r="F162" i="1"/>
  <c r="F172" i="1"/>
  <c r="F332" i="1"/>
  <c r="F14" i="1"/>
  <c r="F92" i="1"/>
  <c r="F314" i="1"/>
  <c r="F250" i="1"/>
  <c r="F149" i="1"/>
  <c r="F120" i="1"/>
  <c r="F20" i="1"/>
  <c r="F327" i="1"/>
  <c r="G302" i="1"/>
  <c r="G22" i="1"/>
  <c r="G72" i="1"/>
  <c r="G253" i="1"/>
  <c r="G305" i="1"/>
  <c r="G150" i="1"/>
  <c r="G264" i="1"/>
  <c r="G111" i="1"/>
  <c r="G148" i="1"/>
  <c r="G118" i="1"/>
  <c r="G344" i="1"/>
  <c r="G119" i="1"/>
  <c r="G296" i="1"/>
  <c r="G269" i="1"/>
  <c r="G171" i="1"/>
  <c r="G178" i="1"/>
  <c r="G21" i="1"/>
  <c r="G186" i="1"/>
  <c r="G50" i="1"/>
  <c r="G40" i="1"/>
  <c r="G51" i="1"/>
  <c r="G240" i="1"/>
  <c r="G238" i="1"/>
  <c r="G193" i="1"/>
  <c r="G277" i="1"/>
  <c r="G258" i="1"/>
  <c r="G231" i="1"/>
  <c r="G66" i="1"/>
  <c r="G138" i="1"/>
  <c r="G123" i="1"/>
  <c r="G188" i="1"/>
  <c r="G29" i="1"/>
  <c r="G337" i="1"/>
  <c r="G63" i="1"/>
  <c r="G300" i="1"/>
  <c r="G163" i="1"/>
  <c r="G8" i="1"/>
  <c r="G282" i="1"/>
  <c r="G200" i="1"/>
  <c r="G256" i="1"/>
  <c r="G56" i="1"/>
  <c r="G279" i="1"/>
  <c r="G160" i="1"/>
  <c r="G273" i="1"/>
  <c r="G47" i="1"/>
  <c r="G297" i="1"/>
  <c r="G215" i="1"/>
  <c r="G199" i="1"/>
  <c r="G342" i="1"/>
  <c r="G38" i="1"/>
  <c r="G275" i="1"/>
  <c r="G203" i="1"/>
  <c r="G98" i="1"/>
  <c r="G76" i="1"/>
  <c r="G152" i="1"/>
  <c r="G153" i="1"/>
  <c r="G234" i="1"/>
  <c r="G268" i="1"/>
  <c r="G298" i="1"/>
  <c r="G6" i="1"/>
  <c r="G44" i="1"/>
  <c r="G190" i="1"/>
  <c r="G323" i="1"/>
  <c r="G78" i="1"/>
  <c r="G104" i="1"/>
  <c r="G289" i="1"/>
  <c r="G36" i="1"/>
  <c r="G267" i="1"/>
  <c r="G145" i="1"/>
  <c r="G70" i="1"/>
  <c r="G281" i="1"/>
  <c r="G141" i="1"/>
  <c r="G320" i="1"/>
  <c r="G169" i="1"/>
  <c r="G319" i="1"/>
  <c r="G112" i="1"/>
  <c r="G32" i="1"/>
  <c r="G108" i="1"/>
  <c r="G61" i="1"/>
  <c r="G341" i="1"/>
  <c r="G43" i="1"/>
  <c r="G291" i="1"/>
  <c r="G222" i="1"/>
  <c r="G340" i="1"/>
  <c r="G130" i="1"/>
  <c r="G307" i="1"/>
  <c r="G53" i="1"/>
  <c r="G338" i="1"/>
  <c r="G185" i="1"/>
  <c r="G230" i="1"/>
  <c r="G239" i="1"/>
  <c r="G194" i="1"/>
  <c r="G287" i="1"/>
  <c r="G175" i="1"/>
  <c r="G274" i="1"/>
  <c r="G333" i="1"/>
  <c r="G26" i="1"/>
  <c r="G217" i="1"/>
  <c r="G324" i="1"/>
  <c r="G249" i="1"/>
  <c r="G33" i="1"/>
  <c r="G290" i="1"/>
  <c r="G237" i="1"/>
  <c r="G105" i="1"/>
  <c r="G247" i="1"/>
  <c r="G306" i="1"/>
  <c r="G330" i="1"/>
  <c r="G209" i="1"/>
  <c r="G316" i="1"/>
  <c r="G57" i="1"/>
  <c r="G208" i="1"/>
  <c r="G7" i="1"/>
  <c r="G248" i="1"/>
  <c r="G89" i="1"/>
  <c r="G30" i="1"/>
  <c r="G276" i="1"/>
  <c r="G219" i="1"/>
  <c r="G259" i="1"/>
  <c r="G15" i="1"/>
  <c r="G96" i="1"/>
  <c r="G255" i="1"/>
  <c r="G139" i="1"/>
  <c r="G83" i="1"/>
  <c r="G350" i="1"/>
  <c r="G71" i="1"/>
  <c r="G77" i="1"/>
  <c r="G270" i="1"/>
  <c r="G345" i="1"/>
  <c r="G114" i="1"/>
  <c r="G322" i="1"/>
  <c r="G243" i="1"/>
  <c r="G11" i="1"/>
  <c r="G278" i="1"/>
  <c r="G106" i="1"/>
  <c r="G35" i="1"/>
  <c r="G213" i="1"/>
  <c r="G233" i="1"/>
  <c r="G232" i="1"/>
  <c r="G109" i="1"/>
  <c r="G224" i="1"/>
  <c r="G317" i="1"/>
  <c r="G12" i="1"/>
  <c r="G115" i="1"/>
  <c r="G254" i="1"/>
  <c r="G90" i="1"/>
  <c r="G37" i="1"/>
  <c r="G156" i="1"/>
  <c r="G168" i="1"/>
  <c r="G100" i="1"/>
  <c r="G140" i="1"/>
  <c r="G308" i="1"/>
  <c r="G189" i="1"/>
  <c r="G82" i="1"/>
  <c r="G91" i="1"/>
  <c r="G173" i="1"/>
  <c r="G165" i="1"/>
  <c r="G122" i="1"/>
  <c r="G252" i="1"/>
  <c r="G176" i="1"/>
  <c r="G75" i="1"/>
  <c r="G315" i="1"/>
  <c r="G155" i="1"/>
  <c r="G351" i="1"/>
  <c r="G225" i="1"/>
  <c r="G67" i="1"/>
  <c r="G10" i="1"/>
  <c r="G241" i="1"/>
  <c r="G343" i="1"/>
  <c r="G73" i="1"/>
  <c r="G295" i="1"/>
  <c r="G151" i="1"/>
  <c r="G288" i="1"/>
  <c r="G304" i="1"/>
  <c r="G64" i="1"/>
  <c r="G251" i="1"/>
  <c r="G227" i="1"/>
  <c r="G257" i="1"/>
  <c r="G34" i="1"/>
  <c r="G31" i="1"/>
  <c r="G187" i="1"/>
  <c r="G154" i="1"/>
  <c r="G242" i="1"/>
  <c r="G24" i="1"/>
  <c r="G68" i="1"/>
  <c r="G80" i="1"/>
  <c r="G318" i="1"/>
  <c r="G167" i="1"/>
  <c r="G221" i="1"/>
  <c r="G74" i="1"/>
  <c r="G48" i="1"/>
  <c r="G147" i="1"/>
  <c r="G286" i="1"/>
  <c r="G220" i="1"/>
  <c r="G170" i="1"/>
  <c r="G244" i="1"/>
  <c r="G65" i="1"/>
  <c r="G339" i="1"/>
  <c r="G331" i="1"/>
  <c r="G301" i="1"/>
  <c r="G271" i="1"/>
  <c r="G136" i="1"/>
  <c r="G164" i="1"/>
  <c r="G81" i="1"/>
  <c r="G9" i="1"/>
  <c r="G328" i="1"/>
  <c r="G204" i="1"/>
  <c r="G42" i="1"/>
  <c r="G121" i="1"/>
  <c r="G99" i="1"/>
  <c r="G55" i="1"/>
  <c r="G41" i="1"/>
  <c r="G195" i="1"/>
  <c r="G113" i="1"/>
  <c r="G52" i="1"/>
  <c r="G129" i="1"/>
  <c r="G174" i="1"/>
  <c r="G166" i="1"/>
  <c r="G161" i="1"/>
  <c r="G131" i="1"/>
  <c r="G143" i="1"/>
  <c r="G218" i="1"/>
  <c r="G226" i="1"/>
  <c r="G207" i="1"/>
  <c r="G309" i="1"/>
  <c r="G157" i="1"/>
  <c r="G299" i="1"/>
  <c r="G101" i="1"/>
  <c r="G137" i="1"/>
  <c r="G62" i="1"/>
  <c r="G235" i="1"/>
  <c r="G177" i="1"/>
  <c r="G16" i="1"/>
  <c r="G162" i="1"/>
  <c r="G172" i="1"/>
  <c r="G332" i="1"/>
  <c r="G14" i="1"/>
  <c r="G92" i="1"/>
  <c r="G314" i="1"/>
  <c r="G250" i="1"/>
  <c r="G149" i="1"/>
  <c r="G120" i="1"/>
  <c r="G20" i="1"/>
  <c r="G327" i="1"/>
  <c r="F192" i="1"/>
  <c r="G192" i="1"/>
  <c r="E417" i="5"/>
  <c r="E182" i="5"/>
  <c r="E54" i="5"/>
  <c r="E300" i="5"/>
  <c r="E376" i="5"/>
  <c r="E329" i="5"/>
  <c r="E308" i="5"/>
  <c r="E42" i="5"/>
  <c r="E145" i="5"/>
  <c r="E93" i="5"/>
  <c r="E363" i="5"/>
  <c r="E44" i="5"/>
  <c r="E250" i="5"/>
  <c r="E223" i="5"/>
  <c r="E172" i="5"/>
  <c r="E69" i="5"/>
  <c r="E401" i="5"/>
  <c r="E238" i="5"/>
  <c r="E75" i="5"/>
  <c r="E77" i="5"/>
  <c r="E86" i="5"/>
  <c r="E175" i="5"/>
  <c r="E171" i="5"/>
  <c r="E299" i="5"/>
  <c r="E203" i="5"/>
  <c r="E309" i="5"/>
  <c r="E307" i="5"/>
  <c r="E190" i="5"/>
  <c r="E273" i="5"/>
  <c r="E56" i="5"/>
  <c r="E45" i="5"/>
  <c r="E335" i="5"/>
  <c r="E183" i="5"/>
  <c r="E313" i="5"/>
  <c r="E332" i="5"/>
  <c r="E39" i="5"/>
  <c r="E163" i="5"/>
  <c r="E140" i="5"/>
  <c r="E53" i="5"/>
  <c r="E160" i="5"/>
  <c r="E101" i="5"/>
  <c r="E347" i="5"/>
  <c r="E107" i="5"/>
  <c r="E367" i="5"/>
  <c r="E122" i="5"/>
  <c r="E403" i="5"/>
  <c r="E315" i="5"/>
  <c r="E432" i="5"/>
  <c r="E351" i="5"/>
  <c r="E405" i="5"/>
  <c r="E377" i="5"/>
  <c r="E355" i="5"/>
  <c r="E127" i="5"/>
  <c r="E170" i="5"/>
  <c r="E359" i="5"/>
  <c r="E243" i="5"/>
  <c r="E388" i="5"/>
  <c r="E325" i="5"/>
  <c r="E97" i="5"/>
  <c r="E83" i="5"/>
  <c r="E41" i="5"/>
  <c r="E232" i="5"/>
  <c r="E188" i="5"/>
  <c r="E340" i="5"/>
  <c r="E20" i="5"/>
  <c r="E125" i="5"/>
  <c r="E255" i="5"/>
  <c r="E14" i="5"/>
  <c r="E132" i="5"/>
  <c r="E33" i="5"/>
  <c r="E133" i="5"/>
  <c r="E285" i="5"/>
  <c r="E52" i="5"/>
  <c r="E131" i="5"/>
  <c r="E210" i="5"/>
  <c r="E134" i="5"/>
  <c r="E229" i="5"/>
  <c r="E164" i="5"/>
  <c r="E386" i="5"/>
  <c r="E406" i="5"/>
  <c r="E252" i="5"/>
  <c r="E78" i="5"/>
  <c r="E161" i="5"/>
  <c r="E429" i="5"/>
  <c r="E157" i="5"/>
  <c r="E258" i="5"/>
  <c r="E381" i="5"/>
  <c r="E146" i="5"/>
  <c r="E174" i="5"/>
  <c r="E111" i="5"/>
  <c r="E283" i="5"/>
  <c r="E291" i="5"/>
  <c r="E94" i="5"/>
  <c r="E184" i="5"/>
  <c r="E35" i="5"/>
  <c r="E215" i="5"/>
  <c r="E179" i="5"/>
  <c r="E92" i="5"/>
  <c r="E392" i="5"/>
  <c r="E63" i="5"/>
  <c r="E263" i="5"/>
  <c r="E349" i="5"/>
  <c r="E17" i="5"/>
  <c r="E320" i="5"/>
  <c r="E6" i="5"/>
  <c r="E373" i="5"/>
  <c r="E362" i="5"/>
  <c r="E271" i="5"/>
  <c r="E328" i="5"/>
  <c r="E393" i="5"/>
  <c r="E178" i="5"/>
  <c r="E155" i="5"/>
  <c r="E189" i="5"/>
  <c r="E136" i="5"/>
  <c r="E49" i="5"/>
  <c r="E346" i="5"/>
  <c r="E345" i="5"/>
  <c r="E369" i="5"/>
  <c r="E236" i="5"/>
  <c r="E130" i="5"/>
  <c r="E295" i="5"/>
  <c r="E217" i="5"/>
  <c r="E119" i="5"/>
  <c r="E341" i="5"/>
  <c r="E27" i="5"/>
  <c r="E233" i="5"/>
  <c r="E365" i="5"/>
  <c r="E316" i="5"/>
  <c r="E23" i="5"/>
  <c r="E288" i="5"/>
  <c r="E248" i="5"/>
  <c r="E395" i="5"/>
  <c r="E422" i="5"/>
  <c r="E409" i="5"/>
  <c r="E72" i="5"/>
  <c r="E261" i="5"/>
  <c r="E70" i="5"/>
  <c r="E149" i="5"/>
  <c r="E344" i="5"/>
  <c r="E423" i="5"/>
  <c r="E323" i="5"/>
  <c r="E219" i="5"/>
  <c r="E314" i="5"/>
  <c r="E286" i="5"/>
  <c r="E62" i="5"/>
  <c r="E113" i="5"/>
  <c r="E124" i="5"/>
  <c r="E114" i="5"/>
  <c r="E206" i="5"/>
  <c r="E204" i="5"/>
  <c r="E65" i="5"/>
  <c r="E167" i="5"/>
  <c r="E318" i="5"/>
  <c r="E408" i="5"/>
  <c r="E425" i="5"/>
  <c r="E342" i="5"/>
  <c r="E100" i="5"/>
  <c r="E221" i="5"/>
  <c r="E336" i="5"/>
  <c r="E368" i="5"/>
  <c r="E222" i="5"/>
  <c r="E247" i="5"/>
  <c r="E284" i="5"/>
  <c r="E186" i="5"/>
  <c r="E378" i="5"/>
  <c r="E249" i="5"/>
  <c r="E312" i="5"/>
  <c r="E90" i="5"/>
  <c r="E324" i="5"/>
  <c r="E224" i="5"/>
  <c r="E10" i="5"/>
  <c r="E58" i="5"/>
  <c r="E66" i="5"/>
  <c r="E404" i="5"/>
  <c r="E260" i="5"/>
  <c r="E387" i="5"/>
  <c r="E321" i="5"/>
  <c r="E412" i="5"/>
  <c r="E390" i="5"/>
  <c r="E379" i="5"/>
  <c r="E317" i="5"/>
  <c r="E245" i="5"/>
  <c r="E298" i="5"/>
  <c r="E357" i="5"/>
  <c r="E354" i="5"/>
  <c r="E13" i="5"/>
  <c r="E198" i="5"/>
  <c r="E11" i="5"/>
  <c r="E225" i="5"/>
  <c r="E193" i="5"/>
  <c r="E382" i="5"/>
  <c r="E272" i="5"/>
  <c r="E87" i="5"/>
  <c r="E399" i="5"/>
  <c r="E117" i="5"/>
  <c r="E185" i="5"/>
  <c r="E105" i="5"/>
  <c r="E61" i="5"/>
  <c r="E411" i="5"/>
  <c r="E152" i="5"/>
  <c r="E352" i="5"/>
  <c r="E301" i="5"/>
  <c r="E297" i="5"/>
  <c r="E142" i="5"/>
  <c r="E407" i="5"/>
  <c r="E102" i="5"/>
  <c r="E120" i="5"/>
  <c r="E176" i="5"/>
  <c r="E162" i="5"/>
  <c r="E280" i="5"/>
  <c r="E19" i="5"/>
  <c r="E372" i="5"/>
  <c r="E420" i="5"/>
  <c r="E40" i="5"/>
  <c r="E398" i="5"/>
  <c r="E259" i="5"/>
  <c r="E7" i="5"/>
  <c r="E253" i="5"/>
  <c r="E292" i="5"/>
  <c r="E256" i="5"/>
  <c r="E413" i="5"/>
  <c r="E67" i="5"/>
  <c r="E28" i="5"/>
  <c r="E227" i="5"/>
  <c r="E244" i="5"/>
  <c r="E201" i="5"/>
  <c r="E306" i="5"/>
  <c r="E202" i="5"/>
  <c r="E281" i="5"/>
  <c r="E266" i="5"/>
  <c r="E267" i="5"/>
  <c r="E410" i="5"/>
  <c r="E110" i="5"/>
  <c r="E96" i="5"/>
  <c r="E279" i="5"/>
  <c r="E282" i="5"/>
  <c r="E148" i="5"/>
  <c r="E194" i="5"/>
  <c r="E276" i="5"/>
  <c r="E144" i="5"/>
  <c r="E147" i="5"/>
  <c r="E103" i="5"/>
  <c r="E21" i="5"/>
  <c r="E57" i="5"/>
  <c r="E166" i="5"/>
  <c r="E333" i="5"/>
  <c r="E51" i="5"/>
  <c r="E150" i="5"/>
  <c r="E389" i="5"/>
  <c r="E360" i="5"/>
  <c r="E123" i="5"/>
  <c r="E81" i="5"/>
  <c r="E26" i="5"/>
  <c r="E191" i="5"/>
  <c r="E34" i="5"/>
  <c r="E358" i="5"/>
  <c r="E46" i="5"/>
  <c r="E79" i="5"/>
  <c r="E430" i="5"/>
  <c r="E151" i="5"/>
  <c r="E339" i="5"/>
  <c r="E356" i="5"/>
  <c r="E348" i="5"/>
  <c r="E394" i="5"/>
  <c r="E158" i="5"/>
  <c r="E353" i="5"/>
  <c r="E374" i="5"/>
  <c r="E293" i="5"/>
  <c r="E265" i="5"/>
  <c r="E269" i="5"/>
  <c r="E366" i="5"/>
  <c r="E364" i="5"/>
  <c r="E208" i="5"/>
  <c r="E305" i="5"/>
  <c r="E270" i="5"/>
  <c r="E112" i="5"/>
  <c r="E29" i="5"/>
  <c r="E237" i="5"/>
  <c r="E15" i="5"/>
  <c r="E254" i="5"/>
  <c r="E371" i="5"/>
  <c r="E226" i="5"/>
  <c r="E37" i="5"/>
  <c r="E197" i="5"/>
  <c r="E48" i="5"/>
  <c r="E216" i="5"/>
  <c r="E337" i="5"/>
  <c r="E385" i="5"/>
  <c r="E391" i="5"/>
  <c r="E416" i="5"/>
  <c r="E207" i="5"/>
  <c r="E169" i="5"/>
  <c r="E319" i="5"/>
  <c r="E234" i="5"/>
  <c r="E327" i="5"/>
  <c r="E264" i="5"/>
  <c r="E414" i="5"/>
  <c r="E106" i="5"/>
  <c r="E275" i="5"/>
  <c r="E88" i="5"/>
  <c r="E296" i="5"/>
  <c r="E290" i="5"/>
  <c r="E287" i="5"/>
  <c r="E31" i="5"/>
  <c r="E426" i="5"/>
  <c r="E231" i="5"/>
  <c r="E36" i="5"/>
  <c r="E137" i="5"/>
  <c r="E242" i="5"/>
  <c r="E230" i="5"/>
  <c r="E199" i="5"/>
  <c r="E43" i="5"/>
  <c r="E380" i="5"/>
  <c r="E400" i="5"/>
  <c r="E251" i="5"/>
  <c r="E302" i="5"/>
  <c r="E214" i="5"/>
  <c r="E361" i="5"/>
  <c r="E235" i="5"/>
  <c r="E12" i="5"/>
  <c r="E24" i="5"/>
  <c r="E55" i="5"/>
  <c r="E95" i="5"/>
  <c r="E16" i="5"/>
  <c r="E375" i="5"/>
  <c r="E82" i="5"/>
  <c r="E74" i="5"/>
  <c r="E330" i="5"/>
  <c r="E104" i="5"/>
  <c r="E50" i="5"/>
  <c r="E115" i="5"/>
  <c r="E322" i="5"/>
  <c r="E192" i="5"/>
  <c r="E135" i="5"/>
  <c r="E205" i="5"/>
  <c r="E402" i="5"/>
  <c r="E428" i="5"/>
  <c r="E370" i="5"/>
  <c r="E195" i="5"/>
  <c r="E159" i="5"/>
  <c r="E173" i="5"/>
  <c r="E47" i="5"/>
  <c r="E334" i="5"/>
  <c r="E289" i="5"/>
  <c r="E118" i="5"/>
  <c r="E220" i="5"/>
  <c r="E228" i="5"/>
  <c r="E278" i="5"/>
  <c r="E108" i="5"/>
  <c r="E311" i="5"/>
  <c r="E76" i="5"/>
  <c r="E431" i="5"/>
  <c r="E30" i="5"/>
  <c r="E326" i="5"/>
  <c r="E126" i="5"/>
  <c r="E64" i="5"/>
  <c r="E129" i="5"/>
  <c r="E168" i="5"/>
  <c r="E427" i="5"/>
  <c r="E343" i="5"/>
  <c r="E212" i="5"/>
  <c r="E213" i="5"/>
  <c r="E415" i="5"/>
  <c r="E32" i="5"/>
  <c r="E80" i="5"/>
  <c r="E211" i="5"/>
  <c r="E8" i="5"/>
  <c r="E91" i="5"/>
  <c r="E128" i="5"/>
  <c r="E180" i="5"/>
  <c r="E209" i="5"/>
  <c r="E109" i="5"/>
  <c r="E274" i="5"/>
  <c r="E304" i="5"/>
  <c r="E89" i="5"/>
  <c r="E246" i="5"/>
  <c r="E294" i="5"/>
  <c r="E143" i="5"/>
  <c r="E187" i="5"/>
  <c r="E141" i="5"/>
  <c r="E268" i="5"/>
  <c r="E116" i="5"/>
  <c r="E419" i="5"/>
  <c r="E181" i="5"/>
  <c r="E200" i="5"/>
  <c r="E73" i="5"/>
  <c r="E18" i="5"/>
  <c r="E22" i="5"/>
  <c r="E9" i="5"/>
  <c r="E68" i="5"/>
  <c r="E99" i="5"/>
  <c r="F417" i="5"/>
  <c r="F182" i="5"/>
  <c r="F54" i="5"/>
  <c r="F300" i="5"/>
  <c r="F376" i="5"/>
  <c r="F329" i="5"/>
  <c r="F308" i="5"/>
  <c r="F42" i="5"/>
  <c r="F145" i="5"/>
  <c r="F93" i="5"/>
  <c r="F363" i="5"/>
  <c r="F44" i="5"/>
  <c r="F250" i="5"/>
  <c r="F223" i="5"/>
  <c r="F172" i="5"/>
  <c r="F69" i="5"/>
  <c r="F401" i="5"/>
  <c r="F238" i="5"/>
  <c r="F75" i="5"/>
  <c r="F77" i="5"/>
  <c r="F86" i="5"/>
  <c r="F175" i="5"/>
  <c r="F171" i="5"/>
  <c r="F299" i="5"/>
  <c r="F203" i="5"/>
  <c r="F309" i="5"/>
  <c r="F307" i="5"/>
  <c r="F190" i="5"/>
  <c r="F273" i="5"/>
  <c r="F56" i="5"/>
  <c r="F45" i="5"/>
  <c r="F335" i="5"/>
  <c r="F183" i="5"/>
  <c r="F313" i="5"/>
  <c r="F332" i="5"/>
  <c r="F39" i="5"/>
  <c r="F163" i="5"/>
  <c r="F140" i="5"/>
  <c r="F53" i="5"/>
  <c r="F160" i="5"/>
  <c r="F101" i="5"/>
  <c r="F347" i="5"/>
  <c r="F107" i="5"/>
  <c r="F367" i="5"/>
  <c r="F122" i="5"/>
  <c r="F403" i="5"/>
  <c r="F315" i="5"/>
  <c r="F432" i="5"/>
  <c r="F351" i="5"/>
  <c r="F405" i="5"/>
  <c r="F377" i="5"/>
  <c r="F355" i="5"/>
  <c r="F127" i="5"/>
  <c r="F170" i="5"/>
  <c r="F359" i="5"/>
  <c r="F243" i="5"/>
  <c r="F388" i="5"/>
  <c r="F325" i="5"/>
  <c r="F97" i="5"/>
  <c r="F83" i="5"/>
  <c r="F41" i="5"/>
  <c r="F232" i="5"/>
  <c r="F188" i="5"/>
  <c r="F340" i="5"/>
  <c r="F20" i="5"/>
  <c r="F125" i="5"/>
  <c r="F255" i="5"/>
  <c r="F14" i="5"/>
  <c r="F132" i="5"/>
  <c r="F33" i="5"/>
  <c r="F133" i="5"/>
  <c r="F285" i="5"/>
  <c r="F52" i="5"/>
  <c r="F131" i="5"/>
  <c r="F210" i="5"/>
  <c r="F134" i="5"/>
  <c r="F229" i="5"/>
  <c r="F164" i="5"/>
  <c r="F386" i="5"/>
  <c r="F406" i="5"/>
  <c r="F252" i="5"/>
  <c r="F78" i="5"/>
  <c r="F161" i="5"/>
  <c r="F429" i="5"/>
  <c r="F157" i="5"/>
  <c r="F258" i="5"/>
  <c r="F381" i="5"/>
  <c r="F146" i="5"/>
  <c r="F174" i="5"/>
  <c r="F111" i="5"/>
  <c r="F283" i="5"/>
  <c r="F291" i="5"/>
  <c r="F94" i="5"/>
  <c r="F184" i="5"/>
  <c r="F35" i="5"/>
  <c r="F215" i="5"/>
  <c r="F179" i="5"/>
  <c r="F92" i="5"/>
  <c r="F392" i="5"/>
  <c r="F63" i="5"/>
  <c r="F263" i="5"/>
  <c r="F349" i="5"/>
  <c r="F17" i="5"/>
  <c r="F320" i="5"/>
  <c r="F6" i="5"/>
  <c r="F373" i="5"/>
  <c r="F362" i="5"/>
  <c r="F271" i="5"/>
  <c r="F328" i="5"/>
  <c r="F393" i="5"/>
  <c r="F178" i="5"/>
  <c r="F155" i="5"/>
  <c r="F189" i="5"/>
  <c r="F136" i="5"/>
  <c r="F49" i="5"/>
  <c r="F346" i="5"/>
  <c r="F345" i="5"/>
  <c r="F369" i="5"/>
  <c r="F236" i="5"/>
  <c r="F130" i="5"/>
  <c r="F295" i="5"/>
  <c r="F217" i="5"/>
  <c r="F119" i="5"/>
  <c r="F341" i="5"/>
  <c r="F27" i="5"/>
  <c r="F233" i="5"/>
  <c r="F365" i="5"/>
  <c r="F316" i="5"/>
  <c r="F23" i="5"/>
  <c r="F288" i="5"/>
  <c r="F248" i="5"/>
  <c r="F395" i="5"/>
  <c r="F422" i="5"/>
  <c r="F409" i="5"/>
  <c r="F72" i="5"/>
  <c r="F261" i="5"/>
  <c r="F70" i="5"/>
  <c r="F149" i="5"/>
  <c r="F344" i="5"/>
  <c r="F423" i="5"/>
  <c r="F323" i="5"/>
  <c r="F219" i="5"/>
  <c r="F314" i="5"/>
  <c r="F286" i="5"/>
  <c r="F62" i="5"/>
  <c r="F113" i="5"/>
  <c r="F124" i="5"/>
  <c r="F114" i="5"/>
  <c r="F206" i="5"/>
  <c r="F204" i="5"/>
  <c r="F65" i="5"/>
  <c r="F167" i="5"/>
  <c r="F318" i="5"/>
  <c r="F408" i="5"/>
  <c r="F425" i="5"/>
  <c r="F342" i="5"/>
  <c r="F100" i="5"/>
  <c r="F221" i="5"/>
  <c r="F336" i="5"/>
  <c r="F368" i="5"/>
  <c r="F222" i="5"/>
  <c r="F247" i="5"/>
  <c r="F284" i="5"/>
  <c r="F186" i="5"/>
  <c r="F378" i="5"/>
  <c r="F249" i="5"/>
  <c r="F312" i="5"/>
  <c r="F90" i="5"/>
  <c r="F324" i="5"/>
  <c r="F224" i="5"/>
  <c r="F10" i="5"/>
  <c r="F58" i="5"/>
  <c r="F66" i="5"/>
  <c r="F404" i="5"/>
  <c r="F260" i="5"/>
  <c r="F387" i="5"/>
  <c r="F321" i="5"/>
  <c r="F412" i="5"/>
  <c r="F390" i="5"/>
  <c r="F379" i="5"/>
  <c r="F317" i="5"/>
  <c r="F245" i="5"/>
  <c r="F298" i="5"/>
  <c r="F357" i="5"/>
  <c r="F354" i="5"/>
  <c r="F13" i="5"/>
  <c r="F198" i="5"/>
  <c r="F11" i="5"/>
  <c r="F225" i="5"/>
  <c r="F193" i="5"/>
  <c r="F382" i="5"/>
  <c r="F272" i="5"/>
  <c r="F87" i="5"/>
  <c r="F399" i="5"/>
  <c r="F117" i="5"/>
  <c r="F185" i="5"/>
  <c r="F105" i="5"/>
  <c r="F61" i="5"/>
  <c r="F411" i="5"/>
  <c r="F152" i="5"/>
  <c r="F352" i="5"/>
  <c r="F301" i="5"/>
  <c r="F297" i="5"/>
  <c r="F142" i="5"/>
  <c r="F407" i="5"/>
  <c r="F102" i="5"/>
  <c r="F120" i="5"/>
  <c r="F176" i="5"/>
  <c r="F162" i="5"/>
  <c r="F280" i="5"/>
  <c r="F19" i="5"/>
  <c r="F372" i="5"/>
  <c r="F420" i="5"/>
  <c r="F40" i="5"/>
  <c r="F398" i="5"/>
  <c r="F259" i="5"/>
  <c r="F7" i="5"/>
  <c r="F253" i="5"/>
  <c r="F292" i="5"/>
  <c r="F256" i="5"/>
  <c r="F413" i="5"/>
  <c r="F67" i="5"/>
  <c r="F28" i="5"/>
  <c r="F227" i="5"/>
  <c r="F244" i="5"/>
  <c r="F201" i="5"/>
  <c r="F306" i="5"/>
  <c r="F202" i="5"/>
  <c r="F281" i="5"/>
  <c r="F266" i="5"/>
  <c r="F267" i="5"/>
  <c r="F410" i="5"/>
  <c r="F110" i="5"/>
  <c r="F96" i="5"/>
  <c r="F279" i="5"/>
  <c r="F282" i="5"/>
  <c r="F148" i="5"/>
  <c r="F194" i="5"/>
  <c r="F276" i="5"/>
  <c r="F144" i="5"/>
  <c r="F147" i="5"/>
  <c r="F103" i="5"/>
  <c r="F21" i="5"/>
  <c r="F57" i="5"/>
  <c r="F166" i="5"/>
  <c r="F333" i="5"/>
  <c r="F51" i="5"/>
  <c r="F150" i="5"/>
  <c r="F389" i="5"/>
  <c r="F360" i="5"/>
  <c r="F123" i="5"/>
  <c r="F81" i="5"/>
  <c r="F26" i="5"/>
  <c r="F191" i="5"/>
  <c r="F34" i="5"/>
  <c r="F358" i="5"/>
  <c r="F46" i="5"/>
  <c r="F79" i="5"/>
  <c r="F430" i="5"/>
  <c r="F151" i="5"/>
  <c r="F339" i="5"/>
  <c r="F356" i="5"/>
  <c r="F348" i="5"/>
  <c r="F394" i="5"/>
  <c r="F158" i="5"/>
  <c r="F353" i="5"/>
  <c r="F374" i="5"/>
  <c r="F293" i="5"/>
  <c r="F265" i="5"/>
  <c r="F269" i="5"/>
  <c r="F366" i="5"/>
  <c r="F364" i="5"/>
  <c r="F208" i="5"/>
  <c r="F305" i="5"/>
  <c r="F270" i="5"/>
  <c r="F112" i="5"/>
  <c r="F29" i="5"/>
  <c r="F237" i="5"/>
  <c r="F15" i="5"/>
  <c r="F254" i="5"/>
  <c r="F371" i="5"/>
  <c r="F226" i="5"/>
  <c r="F37" i="5"/>
  <c r="F197" i="5"/>
  <c r="F48" i="5"/>
  <c r="F216" i="5"/>
  <c r="F337" i="5"/>
  <c r="F385" i="5"/>
  <c r="F391" i="5"/>
  <c r="F416" i="5"/>
  <c r="F207" i="5"/>
  <c r="F169" i="5"/>
  <c r="F319" i="5"/>
  <c r="F234" i="5"/>
  <c r="F327" i="5"/>
  <c r="F264" i="5"/>
  <c r="F414" i="5"/>
  <c r="F106" i="5"/>
  <c r="F275" i="5"/>
  <c r="F88" i="5"/>
  <c r="F296" i="5"/>
  <c r="F290" i="5"/>
  <c r="F287" i="5"/>
  <c r="F31" i="5"/>
  <c r="F426" i="5"/>
  <c r="F231" i="5"/>
  <c r="F36" i="5"/>
  <c r="F137" i="5"/>
  <c r="F242" i="5"/>
  <c r="F230" i="5"/>
  <c r="F199" i="5"/>
  <c r="F43" i="5"/>
  <c r="F380" i="5"/>
  <c r="F400" i="5"/>
  <c r="F251" i="5"/>
  <c r="F302" i="5"/>
  <c r="F214" i="5"/>
  <c r="F361" i="5"/>
  <c r="F235" i="5"/>
  <c r="F12" i="5"/>
  <c r="F24" i="5"/>
  <c r="F55" i="5"/>
  <c r="F95" i="5"/>
  <c r="F16" i="5"/>
  <c r="F375" i="5"/>
  <c r="F82" i="5"/>
  <c r="F74" i="5"/>
  <c r="F330" i="5"/>
  <c r="F104" i="5"/>
  <c r="F50" i="5"/>
  <c r="F115" i="5"/>
  <c r="F322" i="5"/>
  <c r="F192" i="5"/>
  <c r="F135" i="5"/>
  <c r="F205" i="5"/>
  <c r="F402" i="5"/>
  <c r="F428" i="5"/>
  <c r="F370" i="5"/>
  <c r="F195" i="5"/>
  <c r="F159" i="5"/>
  <c r="F173" i="5"/>
  <c r="F47" i="5"/>
  <c r="F334" i="5"/>
  <c r="F289" i="5"/>
  <c r="F118" i="5"/>
  <c r="F220" i="5"/>
  <c r="F228" i="5"/>
  <c r="F278" i="5"/>
  <c r="F108" i="5"/>
  <c r="F311" i="5"/>
  <c r="F76" i="5"/>
  <c r="F431" i="5"/>
  <c r="F30" i="5"/>
  <c r="F326" i="5"/>
  <c r="F126" i="5"/>
  <c r="F64" i="5"/>
  <c r="F129" i="5"/>
  <c r="F168" i="5"/>
  <c r="F427" i="5"/>
  <c r="F343" i="5"/>
  <c r="F212" i="5"/>
  <c r="F213" i="5"/>
  <c r="F415" i="5"/>
  <c r="F32" i="5"/>
  <c r="F80" i="5"/>
  <c r="F211" i="5"/>
  <c r="F8" i="5"/>
  <c r="F91" i="5"/>
  <c r="F128" i="5"/>
  <c r="F180" i="5"/>
  <c r="F209" i="5"/>
  <c r="F109" i="5"/>
  <c r="F274" i="5"/>
  <c r="F304" i="5"/>
  <c r="F89" i="5"/>
  <c r="F246" i="5"/>
  <c r="F294" i="5"/>
  <c r="F143" i="5"/>
  <c r="F187" i="5"/>
  <c r="F141" i="5"/>
  <c r="F268" i="5"/>
  <c r="F116" i="5"/>
  <c r="F419" i="5"/>
  <c r="F181" i="5"/>
  <c r="F200" i="5"/>
  <c r="F73" i="5"/>
  <c r="F18" i="5"/>
  <c r="F22" i="5"/>
  <c r="F9" i="5"/>
  <c r="F68" i="5"/>
  <c r="F99" i="5"/>
  <c r="G417" i="5"/>
  <c r="G182" i="5"/>
  <c r="G54" i="5"/>
  <c r="G300" i="5"/>
  <c r="G376" i="5"/>
  <c r="G329" i="5"/>
  <c r="G308" i="5"/>
  <c r="G42" i="5"/>
  <c r="G145" i="5"/>
  <c r="G93" i="5"/>
  <c r="G363" i="5"/>
  <c r="G44" i="5"/>
  <c r="G250" i="5"/>
  <c r="G223" i="5"/>
  <c r="G172" i="5"/>
  <c r="G69" i="5"/>
  <c r="G401" i="5"/>
  <c r="G238" i="5"/>
  <c r="G75" i="5"/>
  <c r="G77" i="5"/>
  <c r="G86" i="5"/>
  <c r="G175" i="5"/>
  <c r="G171" i="5"/>
  <c r="G299" i="5"/>
  <c r="G203" i="5"/>
  <c r="G309" i="5"/>
  <c r="G307" i="5"/>
  <c r="G190" i="5"/>
  <c r="G273" i="5"/>
  <c r="G56" i="5"/>
  <c r="G45" i="5"/>
  <c r="G335" i="5"/>
  <c r="G183" i="5"/>
  <c r="G313" i="5"/>
  <c r="G332" i="5"/>
  <c r="G39" i="5"/>
  <c r="G163" i="5"/>
  <c r="G140" i="5"/>
  <c r="G53" i="5"/>
  <c r="G160" i="5"/>
  <c r="G101" i="5"/>
  <c r="G347" i="5"/>
  <c r="G107" i="5"/>
  <c r="G367" i="5"/>
  <c r="G122" i="5"/>
  <c r="G403" i="5"/>
  <c r="G315" i="5"/>
  <c r="G432" i="5"/>
  <c r="G351" i="5"/>
  <c r="G405" i="5"/>
  <c r="G377" i="5"/>
  <c r="G355" i="5"/>
  <c r="G127" i="5"/>
  <c r="G170" i="5"/>
  <c r="G359" i="5"/>
  <c r="G243" i="5"/>
  <c r="G388" i="5"/>
  <c r="G325" i="5"/>
  <c r="G97" i="5"/>
  <c r="G83" i="5"/>
  <c r="G41" i="5"/>
  <c r="G232" i="5"/>
  <c r="G188" i="5"/>
  <c r="G340" i="5"/>
  <c r="G20" i="5"/>
  <c r="G125" i="5"/>
  <c r="G255" i="5"/>
  <c r="G14" i="5"/>
  <c r="G132" i="5"/>
  <c r="G33" i="5"/>
  <c r="G133" i="5"/>
  <c r="G285" i="5"/>
  <c r="G52" i="5"/>
  <c r="G131" i="5"/>
  <c r="G210" i="5"/>
  <c r="G134" i="5"/>
  <c r="G229" i="5"/>
  <c r="G164" i="5"/>
  <c r="G386" i="5"/>
  <c r="G406" i="5"/>
  <c r="G252" i="5"/>
  <c r="G78" i="5"/>
  <c r="G161" i="5"/>
  <c r="G429" i="5"/>
  <c r="G157" i="5"/>
  <c r="G258" i="5"/>
  <c r="G381" i="5"/>
  <c r="G146" i="5"/>
  <c r="G174" i="5"/>
  <c r="G111" i="5"/>
  <c r="G283" i="5"/>
  <c r="G291" i="5"/>
  <c r="G94" i="5"/>
  <c r="G184" i="5"/>
  <c r="G35" i="5"/>
  <c r="G215" i="5"/>
  <c r="G179" i="5"/>
  <c r="G92" i="5"/>
  <c r="G392" i="5"/>
  <c r="G63" i="5"/>
  <c r="G263" i="5"/>
  <c r="G349" i="5"/>
  <c r="G17" i="5"/>
  <c r="G320" i="5"/>
  <c r="G6" i="5"/>
  <c r="G373" i="5"/>
  <c r="G362" i="5"/>
  <c r="G271" i="5"/>
  <c r="G328" i="5"/>
  <c r="G393" i="5"/>
  <c r="G178" i="5"/>
  <c r="G155" i="5"/>
  <c r="G189" i="5"/>
  <c r="G136" i="5"/>
  <c r="G49" i="5"/>
  <c r="G346" i="5"/>
  <c r="G345" i="5"/>
  <c r="G369" i="5"/>
  <c r="G236" i="5"/>
  <c r="G130" i="5"/>
  <c r="G295" i="5"/>
  <c r="G217" i="5"/>
  <c r="G119" i="5"/>
  <c r="G341" i="5"/>
  <c r="G27" i="5"/>
  <c r="G233" i="5"/>
  <c r="G365" i="5"/>
  <c r="G316" i="5"/>
  <c r="G23" i="5"/>
  <c r="G288" i="5"/>
  <c r="G248" i="5"/>
  <c r="G395" i="5"/>
  <c r="G422" i="5"/>
  <c r="G409" i="5"/>
  <c r="G72" i="5"/>
  <c r="G261" i="5"/>
  <c r="G70" i="5"/>
  <c r="G149" i="5"/>
  <c r="G344" i="5"/>
  <c r="G423" i="5"/>
  <c r="G323" i="5"/>
  <c r="G219" i="5"/>
  <c r="G314" i="5"/>
  <c r="G286" i="5"/>
  <c r="G62" i="5"/>
  <c r="G113" i="5"/>
  <c r="G124" i="5"/>
  <c r="G114" i="5"/>
  <c r="G206" i="5"/>
  <c r="G204" i="5"/>
  <c r="G65" i="5"/>
  <c r="G167" i="5"/>
  <c r="G318" i="5"/>
  <c r="G408" i="5"/>
  <c r="G425" i="5"/>
  <c r="G342" i="5"/>
  <c r="G100" i="5"/>
  <c r="G221" i="5"/>
  <c r="G336" i="5"/>
  <c r="G368" i="5"/>
  <c r="G222" i="5"/>
  <c r="G247" i="5"/>
  <c r="G284" i="5"/>
  <c r="G186" i="5"/>
  <c r="G378" i="5"/>
  <c r="G249" i="5"/>
  <c r="G312" i="5"/>
  <c r="G90" i="5"/>
  <c r="G324" i="5"/>
  <c r="G224" i="5"/>
  <c r="G10" i="5"/>
  <c r="G58" i="5"/>
  <c r="G66" i="5"/>
  <c r="G404" i="5"/>
  <c r="G260" i="5"/>
  <c r="G387" i="5"/>
  <c r="G321" i="5"/>
  <c r="G412" i="5"/>
  <c r="G390" i="5"/>
  <c r="G379" i="5"/>
  <c r="G317" i="5"/>
  <c r="G245" i="5"/>
  <c r="G298" i="5"/>
  <c r="G357" i="5"/>
  <c r="G354" i="5"/>
  <c r="G13" i="5"/>
  <c r="G198" i="5"/>
  <c r="G11" i="5"/>
  <c r="G225" i="5"/>
  <c r="G193" i="5"/>
  <c r="G382" i="5"/>
  <c r="G272" i="5"/>
  <c r="G87" i="5"/>
  <c r="G399" i="5"/>
  <c r="G117" i="5"/>
  <c r="G185" i="5"/>
  <c r="G105" i="5"/>
  <c r="G61" i="5"/>
  <c r="G411" i="5"/>
  <c r="G152" i="5"/>
  <c r="G352" i="5"/>
  <c r="G301" i="5"/>
  <c r="G297" i="5"/>
  <c r="G142" i="5"/>
  <c r="G407" i="5"/>
  <c r="G102" i="5"/>
  <c r="G120" i="5"/>
  <c r="G176" i="5"/>
  <c r="G162" i="5"/>
  <c r="G280" i="5"/>
  <c r="G19" i="5"/>
  <c r="G372" i="5"/>
  <c r="G420" i="5"/>
  <c r="G40" i="5"/>
  <c r="G398" i="5"/>
  <c r="G259" i="5"/>
  <c r="G7" i="5"/>
  <c r="G253" i="5"/>
  <c r="G292" i="5"/>
  <c r="G256" i="5"/>
  <c r="G413" i="5"/>
  <c r="G67" i="5"/>
  <c r="G28" i="5"/>
  <c r="G227" i="5"/>
  <c r="G244" i="5"/>
  <c r="G201" i="5"/>
  <c r="G306" i="5"/>
  <c r="G202" i="5"/>
  <c r="G281" i="5"/>
  <c r="G266" i="5"/>
  <c r="G267" i="5"/>
  <c r="G410" i="5"/>
  <c r="G110" i="5"/>
  <c r="G96" i="5"/>
  <c r="G279" i="5"/>
  <c r="G282" i="5"/>
  <c r="G148" i="5"/>
  <c r="G194" i="5"/>
  <c r="G276" i="5"/>
  <c r="G144" i="5"/>
  <c r="G147" i="5"/>
  <c r="G103" i="5"/>
  <c r="G21" i="5"/>
  <c r="G57" i="5"/>
  <c r="G166" i="5"/>
  <c r="G333" i="5"/>
  <c r="G51" i="5"/>
  <c r="G150" i="5"/>
  <c r="G389" i="5"/>
  <c r="G360" i="5"/>
  <c r="G123" i="5"/>
  <c r="G81" i="5"/>
  <c r="G26" i="5"/>
  <c r="G191" i="5"/>
  <c r="G34" i="5"/>
  <c r="G358" i="5"/>
  <c r="G46" i="5"/>
  <c r="G79" i="5"/>
  <c r="G430" i="5"/>
  <c r="G151" i="5"/>
  <c r="G339" i="5"/>
  <c r="G356" i="5"/>
  <c r="G348" i="5"/>
  <c r="G394" i="5"/>
  <c r="G158" i="5"/>
  <c r="G353" i="5"/>
  <c r="G374" i="5"/>
  <c r="G293" i="5"/>
  <c r="G265" i="5"/>
  <c r="G269" i="5"/>
  <c r="G366" i="5"/>
  <c r="G364" i="5"/>
  <c r="G208" i="5"/>
  <c r="G305" i="5"/>
  <c r="G270" i="5"/>
  <c r="G112" i="5"/>
  <c r="G29" i="5"/>
  <c r="G237" i="5"/>
  <c r="G15" i="5"/>
  <c r="G254" i="5"/>
  <c r="G371" i="5"/>
  <c r="G226" i="5"/>
  <c r="G37" i="5"/>
  <c r="G197" i="5"/>
  <c r="G48" i="5"/>
  <c r="G216" i="5"/>
  <c r="G337" i="5"/>
  <c r="G385" i="5"/>
  <c r="G391" i="5"/>
  <c r="G416" i="5"/>
  <c r="G207" i="5"/>
  <c r="G169" i="5"/>
  <c r="G319" i="5"/>
  <c r="G234" i="5"/>
  <c r="G327" i="5"/>
  <c r="G264" i="5"/>
  <c r="G414" i="5"/>
  <c r="G106" i="5"/>
  <c r="G275" i="5"/>
  <c r="G88" i="5"/>
  <c r="G296" i="5"/>
  <c r="G290" i="5"/>
  <c r="G287" i="5"/>
  <c r="G31" i="5"/>
  <c r="G426" i="5"/>
  <c r="G231" i="5"/>
  <c r="G36" i="5"/>
  <c r="G137" i="5"/>
  <c r="G242" i="5"/>
  <c r="G230" i="5"/>
  <c r="G199" i="5"/>
  <c r="G43" i="5"/>
  <c r="G380" i="5"/>
  <c r="G400" i="5"/>
  <c r="G251" i="5"/>
  <c r="G302" i="5"/>
  <c r="G214" i="5"/>
  <c r="G361" i="5"/>
  <c r="G235" i="5"/>
  <c r="G12" i="5"/>
  <c r="G24" i="5"/>
  <c r="G55" i="5"/>
  <c r="G95" i="5"/>
  <c r="G16" i="5"/>
  <c r="G375" i="5"/>
  <c r="G82" i="5"/>
  <c r="G74" i="5"/>
  <c r="G330" i="5"/>
  <c r="G104" i="5"/>
  <c r="G50" i="5"/>
  <c r="G115" i="5"/>
  <c r="G322" i="5"/>
  <c r="G192" i="5"/>
  <c r="G135" i="5"/>
  <c r="G205" i="5"/>
  <c r="G402" i="5"/>
  <c r="G428" i="5"/>
  <c r="G370" i="5"/>
  <c r="G195" i="5"/>
  <c r="G159" i="5"/>
  <c r="G173" i="5"/>
  <c r="G47" i="5"/>
  <c r="G334" i="5"/>
  <c r="G289" i="5"/>
  <c r="G118" i="5"/>
  <c r="G220" i="5"/>
  <c r="G228" i="5"/>
  <c r="G278" i="5"/>
  <c r="G108" i="5"/>
  <c r="G311" i="5"/>
  <c r="G76" i="5"/>
  <c r="G431" i="5"/>
  <c r="G30" i="5"/>
  <c r="G326" i="5"/>
  <c r="G126" i="5"/>
  <c r="G64" i="5"/>
  <c r="G129" i="5"/>
  <c r="G168" i="5"/>
  <c r="G427" i="5"/>
  <c r="G343" i="5"/>
  <c r="G212" i="5"/>
  <c r="G213" i="5"/>
  <c r="G415" i="5"/>
  <c r="G32" i="5"/>
  <c r="G80" i="5"/>
  <c r="G211" i="5"/>
  <c r="G8" i="5"/>
  <c r="G91" i="5"/>
  <c r="G128" i="5"/>
  <c r="G180" i="5"/>
  <c r="G209" i="5"/>
  <c r="G109" i="5"/>
  <c r="G274" i="5"/>
  <c r="G304" i="5"/>
  <c r="G89" i="5"/>
  <c r="G246" i="5"/>
  <c r="G294" i="5"/>
  <c r="G143" i="5"/>
  <c r="G187" i="5"/>
  <c r="G141" i="5"/>
  <c r="G268" i="5"/>
  <c r="G116" i="5"/>
  <c r="G419" i="5"/>
  <c r="G181" i="5"/>
  <c r="G200" i="5"/>
  <c r="G73" i="5"/>
  <c r="G18" i="5"/>
  <c r="G22" i="5"/>
  <c r="G9" i="5"/>
  <c r="G68" i="5"/>
  <c r="G99" i="5"/>
  <c r="E295" i="6"/>
  <c r="F295" i="6"/>
  <c r="G295" i="6"/>
  <c r="E165" i="5"/>
  <c r="F165" i="5"/>
  <c r="G165" i="5"/>
  <c r="M3" i="6" l="1"/>
  <c r="M3" i="5"/>
  <c r="M3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2" i="2"/>
</calcChain>
</file>

<file path=xl/sharedStrings.xml><?xml version="1.0" encoding="utf-8"?>
<sst xmlns="http://schemas.openxmlformats.org/spreadsheetml/2006/main" count="5020" uniqueCount="1266">
  <si>
    <t>440-lanche apresuntado mp</t>
  </si>
  <si>
    <t>KG</t>
  </si>
  <si>
    <t>450-coentro mp</t>
  </si>
  <si>
    <t>454-tomate mp</t>
  </si>
  <si>
    <t>466-cenoura mp</t>
  </si>
  <si>
    <t>467-leite mp</t>
  </si>
  <si>
    <t>LT</t>
  </si>
  <si>
    <t>470-queijo coalho mp</t>
  </si>
  <si>
    <t>568-tilapia limpa mp</t>
  </si>
  <si>
    <t>593-detergente liquido</t>
  </si>
  <si>
    <t>500ML</t>
  </si>
  <si>
    <t>430-contra file mp</t>
  </si>
  <si>
    <t>432-file mignon mp</t>
  </si>
  <si>
    <t>459-abacaxi mp</t>
  </si>
  <si>
    <t>UN</t>
  </si>
  <si>
    <t>471-queijo mussarela mp</t>
  </si>
  <si>
    <t>502-carne suina mp</t>
  </si>
  <si>
    <t>504-costela suina mp</t>
  </si>
  <si>
    <t>609-prep aipim limpo e cozido</t>
  </si>
  <si>
    <t>610-prep brocolis limpo e cozido</t>
  </si>
  <si>
    <t>688-prep farofa</t>
  </si>
  <si>
    <t>441-linguica calabresa mp</t>
  </si>
  <si>
    <t>447-frango inteiro mp</t>
  </si>
  <si>
    <t>480-creme culinario mp</t>
  </si>
  <si>
    <t>429-carne de sol mp</t>
  </si>
  <si>
    <t>453-pimentao mp</t>
  </si>
  <si>
    <t>461-alface mp</t>
  </si>
  <si>
    <t>485-farinha de trigo mp</t>
  </si>
  <si>
    <t>552-prep molho madeira</t>
  </si>
  <si>
    <t>436-batata pre frita mp</t>
  </si>
  <si>
    <t>446-file de peito de frango mp</t>
  </si>
  <si>
    <t>458-morango mp</t>
  </si>
  <si>
    <t>465-cebola branca mp</t>
  </si>
  <si>
    <t>455-laranja mp</t>
  </si>
  <si>
    <t>456-limao mp</t>
  </si>
  <si>
    <t>460-aipim mp</t>
  </si>
  <si>
    <t>486-feijao branco mp</t>
  </si>
  <si>
    <t>475-camarao mp</t>
  </si>
  <si>
    <t>484-farinha de rosca mp</t>
  </si>
  <si>
    <t>493-maionese mp</t>
  </si>
  <si>
    <t>549-prep massa fettuccine</t>
  </si>
  <si>
    <t>526-prep polpa maracuja com sement</t>
  </si>
  <si>
    <t>492-macarrao espaguete mp</t>
  </si>
  <si>
    <t>400G</t>
  </si>
  <si>
    <t>500-vinagre mp</t>
  </si>
  <si>
    <t>506-amaciante de carne mp</t>
  </si>
  <si>
    <t>490-ketchup mp</t>
  </si>
  <si>
    <t>501-bacon mp</t>
  </si>
  <si>
    <t>464-brocolis mp</t>
  </si>
  <si>
    <t>478-arroz parboilizado mp</t>
  </si>
  <si>
    <t>519-oleo de soja</t>
  </si>
  <si>
    <t>900ML</t>
  </si>
  <si>
    <t>462-alho mp</t>
  </si>
  <si>
    <t>521-guardanapo</t>
  </si>
  <si>
    <t>550-prep massa rondelli</t>
  </si>
  <si>
    <t>755-costela bovina mp</t>
  </si>
  <si>
    <t>516-cafe em po mp</t>
  </si>
  <si>
    <t>250G</t>
  </si>
  <si>
    <t>Produto</t>
  </si>
  <si>
    <t>Qtde</t>
  </si>
  <si>
    <t>Vl. Unitário</t>
  </si>
  <si>
    <t>Vl. Total</t>
  </si>
  <si>
    <t>AGUA SEM GAS 500ML</t>
  </si>
  <si>
    <t>AGUAS</t>
  </si>
  <si>
    <t>AGUA SEM GAS 1,5L</t>
  </si>
  <si>
    <t>AGUA COM GAS 500ML</t>
  </si>
  <si>
    <t>AGUA DE COCO</t>
  </si>
  <si>
    <t>AGUA TONICA ANTARCTICA 350ML</t>
  </si>
  <si>
    <t>AGUA TONICA SCHWEPPES 350ML</t>
  </si>
  <si>
    <t>SUCO LARANJA 1100ML</t>
  </si>
  <si>
    <t>SUCOS NATURAIS</t>
  </si>
  <si>
    <t>SUCO LARANJA 750ML</t>
  </si>
  <si>
    <t>SUCO LARANJA 350ML</t>
  </si>
  <si>
    <t>SUCO ABACAXI 1100ML</t>
  </si>
  <si>
    <t>SUCO ABACAXI 750ML</t>
  </si>
  <si>
    <t>SUCO ABACAXI 350ML</t>
  </si>
  <si>
    <t>SUCO LIMAO 1100ML</t>
  </si>
  <si>
    <t>SUCO LIMAO 750ML</t>
  </si>
  <si>
    <t>SUCO LIMAO 350ML</t>
  </si>
  <si>
    <t>SUCO MARACUJA 1100ML</t>
  </si>
  <si>
    <t>SUCO MARACUJA 750ML</t>
  </si>
  <si>
    <t>SUCO MARACUJA 350ML</t>
  </si>
  <si>
    <t>COQUETEL DE FRUTAS SEM ALCOOL</t>
  </si>
  <si>
    <t>COQUETEIS SEM ALCOOL</t>
  </si>
  <si>
    <t>CAJUINA SAO GERALDO 2L</t>
  </si>
  <si>
    <t>REFRIGERANTES</t>
  </si>
  <si>
    <t>CAJUINA SAO GERALDO 1L</t>
  </si>
  <si>
    <t>CAJUINA SAO GERALDO 600ML</t>
  </si>
  <si>
    <t>COCA-COLA 2L</t>
  </si>
  <si>
    <t>COCA-COLA LS 1L</t>
  </si>
  <si>
    <t>COCA-COLA 600ML</t>
  </si>
  <si>
    <t>COCA-COLA LATA 350ML</t>
  </si>
  <si>
    <t>COCA-COLA ZERO LATA 350ML</t>
  </si>
  <si>
    <t>COCA-COLA KS 290ML</t>
  </si>
  <si>
    <t>DELRIO GUARANA 2L</t>
  </si>
  <si>
    <t>DELRIO GUARANA 1L</t>
  </si>
  <si>
    <t>DELRIO LARANJA 2L</t>
  </si>
  <si>
    <t>GUARANA ANTARCTICA 2L</t>
  </si>
  <si>
    <t>GUARANA ANTARCTICA 1L</t>
  </si>
  <si>
    <t>GUARANA ANTARCTICA LATA 350ML</t>
  </si>
  <si>
    <t>GUARANA KUAT LATA 350ML</t>
  </si>
  <si>
    <t>FANTA LARANJA LATA 350ML</t>
  </si>
  <si>
    <t>FANTA UVA LATA 350ML</t>
  </si>
  <si>
    <t>PEPSI ZERO LATA 350ML</t>
  </si>
  <si>
    <t>SCHWEPPES CITRUS LATA 350ML</t>
  </si>
  <si>
    <t>SPRITE LATA 350ML</t>
  </si>
  <si>
    <t>SUKITA 2L</t>
  </si>
  <si>
    <t>AQUARIUS FRESH</t>
  </si>
  <si>
    <t>H2O</t>
  </si>
  <si>
    <t>ENERG MONSTER LATA 269ML</t>
  </si>
  <si>
    <t>ENERGETICOS</t>
  </si>
  <si>
    <t>ENERG RED BULL LATA 269ML</t>
  </si>
  <si>
    <t>AMSTEL 600ML</t>
  </si>
  <si>
    <t>CERVEJAS</t>
  </si>
  <si>
    <t>ANTARCTICA ORIGINAL 600ML</t>
  </si>
  <si>
    <t>BRAHMA CHOPP 600ML</t>
  </si>
  <si>
    <t>BRAHMA DUPLO MALTE 600ML</t>
  </si>
  <si>
    <t>BOHEMIA 600ML</t>
  </si>
  <si>
    <t>BUDWEISER 600ML</t>
  </si>
  <si>
    <t>EISENBAHN 600ML</t>
  </si>
  <si>
    <t>HEINEKEN 600ML</t>
  </si>
  <si>
    <t>HEINEKEN LN 330ML</t>
  </si>
  <si>
    <t>HEINEKEN LN ZERO 330ML</t>
  </si>
  <si>
    <t>CERVEJAS ZERO ALCOOL</t>
  </si>
  <si>
    <t>ITAIPAVA 600ML</t>
  </si>
  <si>
    <t>PETRA 600ML</t>
  </si>
  <si>
    <t>SKOL 600ML</t>
  </si>
  <si>
    <t>SPATEN 600ML</t>
  </si>
  <si>
    <t>CAIPIFRUTA PISCINAO</t>
  </si>
  <si>
    <t>CAIPIVODKAS PISCINAO</t>
  </si>
  <si>
    <t>CAIPIRINHA DE ABACAXI</t>
  </si>
  <si>
    <t>CAIPIRINHAS</t>
  </si>
  <si>
    <t>CAIPIRINHA DE LIMAO</t>
  </si>
  <si>
    <t>CAIPIRINHA DE MARACUJA</t>
  </si>
  <si>
    <t>CAIPIRINHA DE MORANGO</t>
  </si>
  <si>
    <t>CAIPIVODKA ABACAXI</t>
  </si>
  <si>
    <t>CAIPIVODKAS</t>
  </si>
  <si>
    <t>CAIPIVODKA LIMAO</t>
  </si>
  <si>
    <t>CAIPIVODKA MARACUJA</t>
  </si>
  <si>
    <t>CAIPIVODKA MORANGO</t>
  </si>
  <si>
    <t>CAIPIVODKA MORANGO SMIRNOFF</t>
  </si>
  <si>
    <t>CAIPIVODKA ABSOLUT</t>
  </si>
  <si>
    <t>COQUETEL DE FRUTAS COM ALCOOL</t>
  </si>
  <si>
    <t>COQUETEIS COM ALCOOL</t>
  </si>
  <si>
    <t>COQUETEL DE FRUTAS COM ABSOLUT</t>
  </si>
  <si>
    <t>GIN TONICA</t>
  </si>
  <si>
    <t>DRINKS OUTROS</t>
  </si>
  <si>
    <t>LAGOA AZUL</t>
  </si>
  <si>
    <t>MARGARITA</t>
  </si>
  <si>
    <t>PINA COLADA</t>
  </si>
  <si>
    <t>APERITIVO CAMPARI GF</t>
  </si>
  <si>
    <t>GARRAFAS APERITIVAS</t>
  </si>
  <si>
    <t>DOSE APERITIVO CAMPARI</t>
  </si>
  <si>
    <t>DOSES APERITIVAS</t>
  </si>
  <si>
    <t>CACHACA 51 OURO GF</t>
  </si>
  <si>
    <t>GARRAFAS CACHACAS</t>
  </si>
  <si>
    <t>DOSE CACHACA 51 OURO</t>
  </si>
  <si>
    <t>DOSES CACHACAS</t>
  </si>
  <si>
    <t>CACHACA 51 PRATA GF</t>
  </si>
  <si>
    <t>DOSE CACHACA 51 PRATA</t>
  </si>
  <si>
    <t>CACHACA VELHO BARREIRO GF</t>
  </si>
  <si>
    <t>DOSE CACHACA VELHO BARREIRO</t>
  </si>
  <si>
    <t>CACHACA YPIOCA 150 GF</t>
  </si>
  <si>
    <t>DOSE CACHACA YPIOCA 150</t>
  </si>
  <si>
    <t>CACHACA YPIOCA EMPALHADA GF</t>
  </si>
  <si>
    <t>DOSE CACHACA YPIOCA EMPALHADA</t>
  </si>
  <si>
    <t>CACHACA YPIOCA OURO GF</t>
  </si>
  <si>
    <t>DOSE CACHACA YPIOCA OURO</t>
  </si>
  <si>
    <t>CACHACA YPIOCA PRATA GF</t>
  </si>
  <si>
    <t>DOSE CACHACA YPIOCA PRATA</t>
  </si>
  <si>
    <t>CONHAQUE DREHER GF</t>
  </si>
  <si>
    <t>GARRAFAS CONHAQUES</t>
  </si>
  <si>
    <t>DOSE CONHAQUE DREHER</t>
  </si>
  <si>
    <t>DOSES CONHAQUES</t>
  </si>
  <si>
    <t>GIN TANQUERAY GF</t>
  </si>
  <si>
    <t>GARRAFAS GINS</t>
  </si>
  <si>
    <t>DOSE GIN TANQUERAY</t>
  </si>
  <si>
    <t>DOSES GINS</t>
  </si>
  <si>
    <t>LICOR 43 GF</t>
  </si>
  <si>
    <t>GARRAFAS LICORES</t>
  </si>
  <si>
    <t>DOSE LICOR 43</t>
  </si>
  <si>
    <t>DOSES LICORES</t>
  </si>
  <si>
    <t>LICOR COINTREAU GF</t>
  </si>
  <si>
    <t>DOSE LICOR COINTREAU</t>
  </si>
  <si>
    <t>LICOR FOGO PAULISTA GF</t>
  </si>
  <si>
    <t>DOSE LICOR FOGO PAULISTA</t>
  </si>
  <si>
    <t>RUM MALIBU GF</t>
  </si>
  <si>
    <t>GARRAFAS RUNS</t>
  </si>
  <si>
    <t>DOSE RUM MALIBU</t>
  </si>
  <si>
    <t>DOSES RUNS</t>
  </si>
  <si>
    <t>RUM MONTILA OURO GF</t>
  </si>
  <si>
    <t>DOSE RUM MONTILA OURO</t>
  </si>
  <si>
    <t>RUM MONTILA PRATA GF</t>
  </si>
  <si>
    <t>DOSE RUM MONTILA PRATA</t>
  </si>
  <si>
    <t>TEQUILA JOSE CUERVO OURO GF</t>
  </si>
  <si>
    <t>GARRAFAS TEQUILAS</t>
  </si>
  <si>
    <t>DOSE TEQUILA JOSE CUERVO OURO</t>
  </si>
  <si>
    <t>DOSES TEQUILAS</t>
  </si>
  <si>
    <t>TEQUILA JOSE CUERVO PRATA GF</t>
  </si>
  <si>
    <t>DOSE TEQUILA JOSE CUERVO PRATA</t>
  </si>
  <si>
    <t>TEQUILA SAUZA GF</t>
  </si>
  <si>
    <t>DOSE TEQUILA SAUZA</t>
  </si>
  <si>
    <t>TEQUILA TEQUILOKA GF</t>
  </si>
  <si>
    <t>DOSE TEQUILA TEQUILOKA</t>
  </si>
  <si>
    <t>VODKA ABSOLUT GF</t>
  </si>
  <si>
    <t>GARRAFAS VODKAS</t>
  </si>
  <si>
    <t>DOSE VODKA ABSOLUT</t>
  </si>
  <si>
    <t>DOSES VODKAS</t>
  </si>
  <si>
    <t>VODKA CIROC GF</t>
  </si>
  <si>
    <t>DOSE VODKA CIROC</t>
  </si>
  <si>
    <t>VODKA ORLOFF GF</t>
  </si>
  <si>
    <t>DOSE VODKA ORLOFF</t>
  </si>
  <si>
    <t>VODKA SKYY GF</t>
  </si>
  <si>
    <t>DOSE VODKA SKYY</t>
  </si>
  <si>
    <t>VODKA SLOVA GF</t>
  </si>
  <si>
    <t>DOSE VODKA SLOVA</t>
  </si>
  <si>
    <t>VODKA SMIRNOFF GF</t>
  </si>
  <si>
    <t>DOSE VODKA SMIRNOFF</t>
  </si>
  <si>
    <t>WHISKY BALLANTINES 12A GF</t>
  </si>
  <si>
    <t>GARRAFAS WHISKIES</t>
  </si>
  <si>
    <t>DOSE WHISKY BALLANTINES 12A</t>
  </si>
  <si>
    <t>DOSES WHISKIES</t>
  </si>
  <si>
    <t>WHISKY BALLANTINES 8A GF</t>
  </si>
  <si>
    <t>DOSE WHISKY BALLANTINES 8A</t>
  </si>
  <si>
    <t>WHISKY BLACK WHITE GF</t>
  </si>
  <si>
    <t>DOSE WHISKY BLACK WHITE</t>
  </si>
  <si>
    <t>WHISKY BLACK LABEL GF</t>
  </si>
  <si>
    <t>DOSE WHISKY BLACK LABEL</t>
  </si>
  <si>
    <t>WHISKY BUCHANAS DELUXE GF</t>
  </si>
  <si>
    <t>DOSE WHISKY BUCHANAS DELUXE</t>
  </si>
  <si>
    <t>WHISKY CHIVAS REGAL GF</t>
  </si>
  <si>
    <t>DOSE WHISKY CHIVAS REGAL</t>
  </si>
  <si>
    <t>WHISKY JACK DANIELS GF</t>
  </si>
  <si>
    <t>DOSE WHISKY JACK DANIELS</t>
  </si>
  <si>
    <t>WHISKY OLD PARR GF</t>
  </si>
  <si>
    <t>DOSE WHISKY OLD PARR</t>
  </si>
  <si>
    <t>WHISKY RED LABEL GF</t>
  </si>
  <si>
    <t>DOSE WHISKY RED LABEL</t>
  </si>
  <si>
    <t>WHISKY TEACHERS GF</t>
  </si>
  <si>
    <t>DOSE WHISKY TEACHERS</t>
  </si>
  <si>
    <t>WHISKY WHITE HORSE GF</t>
  </si>
  <si>
    <t>DOSE WHISKY WHITE HORSE</t>
  </si>
  <si>
    <t>VINHO CASAL GARCIA GF</t>
  </si>
  <si>
    <t>GARRAFAS VINHOS</t>
  </si>
  <si>
    <t>VINHO CASILEIRO DEL DIABLO GF</t>
  </si>
  <si>
    <t>VINHO O GAUCHO SECO GF</t>
  </si>
  <si>
    <t>TACA VINHO O GAUCHO SECO</t>
  </si>
  <si>
    <t>TACAS VINHOS</t>
  </si>
  <si>
    <t>VINHO O GAUCHO SUAVE GF</t>
  </si>
  <si>
    <t>TACA VINHO O GAUCHO SUAVE</t>
  </si>
  <si>
    <t>VINHO QUINTA DO MORG SECO GF</t>
  </si>
  <si>
    <t>TACA VINHO QUINTA DO MORG SECO</t>
  </si>
  <si>
    <t>VINHO QUINTA DO MORG SUAVE GF</t>
  </si>
  <si>
    <t>TACA VINHO QUINTA DO MORG SUAV</t>
  </si>
  <si>
    <t>VINHO PERGOLA GF</t>
  </si>
  <si>
    <t>VINHO RESERVADO GF</t>
  </si>
  <si>
    <t>VINHO SAINT GERMAIN GF</t>
  </si>
  <si>
    <t>ESPUMANTE CHANDON</t>
  </si>
  <si>
    <t>ESPUMANTES</t>
  </si>
  <si>
    <t>STELLA ARTOIS 600ML</t>
  </si>
  <si>
    <t>AIPIM FRITO</t>
  </si>
  <si>
    <t>ENTRADAS E APERITIVOS</t>
  </si>
  <si>
    <t>BATATA FRITA</t>
  </si>
  <si>
    <t>MEIA BATATA FRITA</t>
  </si>
  <si>
    <t>QUEIJO A MILANESA</t>
  </si>
  <si>
    <t>CAMARAO AO ALHO E OLEO</t>
  </si>
  <si>
    <t>CARNE DE SOL COM AIPIM FRITO</t>
  </si>
  <si>
    <t>CARNE SUINA TRINCHADA</t>
  </si>
  <si>
    <t>CONTRA FILE TRINCHADO E ACEBOL</t>
  </si>
  <si>
    <t>FRANGO A PASSARINHO</t>
  </si>
  <si>
    <t>LINGUICA CALABRESA</t>
  </si>
  <si>
    <t>NUGGET DE FRANGO</t>
  </si>
  <si>
    <t>NUGGET DE PEIXE</t>
  </si>
  <si>
    <t>PEIXE INTEIRO FRITO</t>
  </si>
  <si>
    <t>CHURRASCO A GAUCHO</t>
  </si>
  <si>
    <t>CHURRASCOS</t>
  </si>
  <si>
    <t>MEIO CHURRASCO A GAUCHO</t>
  </si>
  <si>
    <t>CHURRASCO MISTO</t>
  </si>
  <si>
    <t>MEIO CHURRASCO MISTO</t>
  </si>
  <si>
    <t>COSTELA SUINA</t>
  </si>
  <si>
    <t>MEIA COSTELA SUINA</t>
  </si>
  <si>
    <t>FILE DE FRANGO GRELHADO</t>
  </si>
  <si>
    <t>MEIO FILE DE FRANGO GRELHADO</t>
  </si>
  <si>
    <t>PICANHA IMPORTADA</t>
  </si>
  <si>
    <t>MEIA PICANHA IMPORTADA</t>
  </si>
  <si>
    <t>FILE DE FRANGO A PARMEGIANA</t>
  </si>
  <si>
    <t>CARNES AO MOLHO</t>
  </si>
  <si>
    <t>MEIO FILE DE FRANGO A PARMEG</t>
  </si>
  <si>
    <t>FILE DE FRANGO AO MOLHO M</t>
  </si>
  <si>
    <t>MEIO FILE DE FRANGO AO MOLHO M</t>
  </si>
  <si>
    <t>FILE MIGNON A PARMEGIANA</t>
  </si>
  <si>
    <t>MEIO FILE MIGNON A PARMEGIANA</t>
  </si>
  <si>
    <t>FILE MIGNON AO MOLHO MADEIRA</t>
  </si>
  <si>
    <t>MEDALHAO FILE MIGNON</t>
  </si>
  <si>
    <t>CAMARAO COMODORO</t>
  </si>
  <si>
    <t>PESCADOS</t>
  </si>
  <si>
    <t>CAMARAO EMPANADO AO MOLHO B</t>
  </si>
  <si>
    <t>FILE DE PEIXE A PARMEG MOLHO B</t>
  </si>
  <si>
    <t>MEIO FILE PEIXE A PARM MOLHO B</t>
  </si>
  <si>
    <t>FILE PEIXE C CAMARAO MOLHO B</t>
  </si>
  <si>
    <t>FILE DE PEIXE GRELHADO</t>
  </si>
  <si>
    <t>MEIO FILE DE PEIXE GRELHADO</t>
  </si>
  <si>
    <t>FILE SALMAO GRELHADO BELLE MEU</t>
  </si>
  <si>
    <t>PEIXADA COZIDA MOLHO ESPECIAL</t>
  </si>
  <si>
    <t>PEIXE FRITO</t>
  </si>
  <si>
    <t>PEIXE NA BRASA</t>
  </si>
  <si>
    <t>ESPAGUETE A BOLONHESA</t>
  </si>
  <si>
    <t>ESPAGUETES</t>
  </si>
  <si>
    <t>ESPAGUETE CAMARAO AO MOLHO E</t>
  </si>
  <si>
    <t>FETTUCCINE A CARBONARA</t>
  </si>
  <si>
    <t>MASSAS ARTESANAIS</t>
  </si>
  <si>
    <t>FETTUCCINE A CARBONARA CAMARAO</t>
  </si>
  <si>
    <t>FETTUCCINE A PARISIENSE</t>
  </si>
  <si>
    <t>RONDELLI COM CARNE DE SOL</t>
  </si>
  <si>
    <t>EXEC CONTRA FILE AO MOLHO M</t>
  </si>
  <si>
    <t>EXECUTIVOS</t>
  </si>
  <si>
    <t>EXEC CHURRASCO SUINO NA BRASA</t>
  </si>
  <si>
    <t>EXEC FETTUCCINE A BOLONHESA</t>
  </si>
  <si>
    <t>EXEC FILE DE FRANGO A PARMEG</t>
  </si>
  <si>
    <t>EXEC FILE DE FRANGO AO MOLHO M</t>
  </si>
  <si>
    <t>EXEC FILE FRANG GRELHADO BRASA</t>
  </si>
  <si>
    <t>EXEC FILE DE PEIXE GRELHADO</t>
  </si>
  <si>
    <t>EXEC FILE PEIXE PARMEG MOLHO B</t>
  </si>
  <si>
    <t>EXEC FILE MIGNON A PARMEGIANA</t>
  </si>
  <si>
    <t>EXEC RONDELLI DE CARNE</t>
  </si>
  <si>
    <t>EXEC RONDELLI DE CARNE DE SOL</t>
  </si>
  <si>
    <t>PRATO FEITO DE CARNE BOVINA</t>
  </si>
  <si>
    <t>PRATOS FEITOS</t>
  </si>
  <si>
    <t>PRATO FEITO DE CARNE SUINA</t>
  </si>
  <si>
    <t>PRATO FEITO DE FRANGO NA BRASA</t>
  </si>
  <si>
    <t>PRATO FEITO DE PEIXE GRELHADO</t>
  </si>
  <si>
    <t>QUENTINHA DE CARNE BOVINA</t>
  </si>
  <si>
    <t>QUENTINHAS</t>
  </si>
  <si>
    <t>QUENTINHA DE CARNE SUINA</t>
  </si>
  <si>
    <t>QUENTINHA DE FRANGO</t>
  </si>
  <si>
    <t>QUENTINHA DE LINGUICA</t>
  </si>
  <si>
    <t>QUENTINHA DE PEIXE GRELHADO</t>
  </si>
  <si>
    <t>QUENTINHA DE SALPICAO</t>
  </si>
  <si>
    <t>EXEC CHURRASCO CONTRA FILE</t>
  </si>
  <si>
    <t>CAIPIVODKA SMIRNOFF</t>
  </si>
  <si>
    <t>ARROZ A GREGA</t>
  </si>
  <si>
    <t>PORCOES EXTRAS</t>
  </si>
  <si>
    <t>MEIO ARROZ A GREGA</t>
  </si>
  <si>
    <t>ARROZ A PIAMONTESE</t>
  </si>
  <si>
    <t>MEIO ARROZ A PIAMONTESE</t>
  </si>
  <si>
    <t>ARROZ BRANCO</t>
  </si>
  <si>
    <t>MEIO ARROZ BRANCO</t>
  </si>
  <si>
    <t>ARROZ COM ACAFRAO</t>
  </si>
  <si>
    <t>MEIO ARROZ COM ACAFRAO</t>
  </si>
  <si>
    <t>ARROZ COM BROCOLIS</t>
  </si>
  <si>
    <t>MEIO ARROZ COM BROCOLIS</t>
  </si>
  <si>
    <t>ARROZ DE FORNO</t>
  </si>
  <si>
    <t>MEIO ARROZ DE FORNO</t>
  </si>
  <si>
    <t>ARROZ MALUCO</t>
  </si>
  <si>
    <t>MEIO ARROZ MALUCO</t>
  </si>
  <si>
    <t>BAIAO DE DOIS</t>
  </si>
  <si>
    <t>MEIO BAIAO DE DOIS</t>
  </si>
  <si>
    <t>BATATA ROSTI</t>
  </si>
  <si>
    <t>FAROFA</t>
  </si>
  <si>
    <t>FAROFA DE OVOS</t>
  </si>
  <si>
    <t>FEIJAO PRETO</t>
  </si>
  <si>
    <t>LINGUICA</t>
  </si>
  <si>
    <t>MACARRAO G</t>
  </si>
  <si>
    <t>MACARRAO M</t>
  </si>
  <si>
    <t>OMELETE</t>
  </si>
  <si>
    <t>SALADA VERDE G</t>
  </si>
  <si>
    <t>SALADA VERDE M</t>
  </si>
  <si>
    <t>SALPICAO G</t>
  </si>
  <si>
    <t>SALPICAO M</t>
  </si>
  <si>
    <t>VINAGRETE</t>
  </si>
  <si>
    <t>COSTELA SUINA SIMPLES</t>
  </si>
  <si>
    <t>MEIA COSTELA SIMPLES</t>
  </si>
  <si>
    <t>CHURRASCO MISTO SIMPLES</t>
  </si>
  <si>
    <t>MEIO CHURRASCO MISTO SIMPLES</t>
  </si>
  <si>
    <t>MEIO CHURRASCO A GAUCHO SIMPLE</t>
  </si>
  <si>
    <t>PICANHA IMPORTADA SIMPLES</t>
  </si>
  <si>
    <t>MEIA PICANHA IMPORTADA SIMPLES</t>
  </si>
  <si>
    <t>PEIXADA SIMPLES</t>
  </si>
  <si>
    <t>PEIXE NA BRASA SIMPLES</t>
  </si>
  <si>
    <t>PEDACO DE CONTRA FILE</t>
  </si>
  <si>
    <t>PEDACO DE FILE DE PEIXE</t>
  </si>
  <si>
    <t>PEDACO DE FILE MIGNON</t>
  </si>
  <si>
    <t>PEDACO DE FILE DE FRANGO</t>
  </si>
  <si>
    <t>PEDACO DE CARNE SUINA</t>
  </si>
  <si>
    <t>PEDACO DE PICANHA</t>
  </si>
  <si>
    <t>OVO FRITO</t>
  </si>
  <si>
    <t>PURE DE BATATA</t>
  </si>
  <si>
    <t>PIZZA CALABRESA</t>
  </si>
  <si>
    <t>PIZZAS</t>
  </si>
  <si>
    <t>PIZZA FRANGO COM CATUPIRY</t>
  </si>
  <si>
    <t>PIZZA MISTA</t>
  </si>
  <si>
    <t>PIZZA MUSSARELA</t>
  </si>
  <si>
    <t>PIZZA PORTUGUESA</t>
  </si>
  <si>
    <t>BOLO DE POTE</t>
  </si>
  <si>
    <t>BOLOS E TORTAS</t>
  </si>
  <si>
    <t>BROWNIE</t>
  </si>
  <si>
    <t>BROWNIES</t>
  </si>
  <si>
    <t>BROWNIE COM SORVETE DE CREME</t>
  </si>
  <si>
    <t>DELICIA DE ABACAXI</t>
  </si>
  <si>
    <t>DELICIAS</t>
  </si>
  <si>
    <t>DELICIA DE LIMAO</t>
  </si>
  <si>
    <t>MOUSSE DE MARACUJA</t>
  </si>
  <si>
    <t>MOUSSES</t>
  </si>
  <si>
    <t>MOUSSE DE MORANGO</t>
  </si>
  <si>
    <t>PALHA ITALIANA</t>
  </si>
  <si>
    <t>PUDIM DE LEITE CONDENSADO</t>
  </si>
  <si>
    <t>PUDINS</t>
  </si>
  <si>
    <t>TRIDENT</t>
  </si>
  <si>
    <t>DOCES E BALAS</t>
  </si>
  <si>
    <t>PICOLE COM COBERTURA</t>
  </si>
  <si>
    <t>PICOLES</t>
  </si>
  <si>
    <t>PICOLE SEM COBERTURA</t>
  </si>
  <si>
    <t>PICOLE PARDAL SUPRA</t>
  </si>
  <si>
    <t>PICOLE QUICK EXCELLENCE</t>
  </si>
  <si>
    <t>SORVETE PARDAL ORIGINAL</t>
  </si>
  <si>
    <t>SORVETES</t>
  </si>
  <si>
    <t>SORVETE PARDAL FUN</t>
  </si>
  <si>
    <t>SORVETE QUICK MINI</t>
  </si>
  <si>
    <t>SORVETE QUICK SUNDAY</t>
  </si>
  <si>
    <t>SORVETE QUICK CORNETTO</t>
  </si>
  <si>
    <t>SORVETE QUICK MAIS</t>
  </si>
  <si>
    <t>BATATA RUFFLES</t>
  </si>
  <si>
    <t>SALGADINHOS</t>
  </si>
  <si>
    <t>BATATA SENSACOES</t>
  </si>
  <si>
    <t>CEBOLITOS</t>
  </si>
  <si>
    <t>CHEETOS</t>
  </si>
  <si>
    <t>DORITOS</t>
  </si>
  <si>
    <t>FANDANGOS</t>
  </si>
  <si>
    <t>TRAVESSA DE SALPICAO G</t>
  </si>
  <si>
    <t>ATACADO</t>
  </si>
  <si>
    <t>TRAVESSA DE SALPICAO M</t>
  </si>
  <si>
    <t>BUFFET</t>
  </si>
  <si>
    <t>QUENTINHA DE ALUMINIO</t>
  </si>
  <si>
    <t>EMBALAGENS</t>
  </si>
  <si>
    <t>QUENTINHA DE ISOPOR</t>
  </si>
  <si>
    <t>BANHO</t>
  </si>
  <si>
    <t>HOSPEDAGEM INDIVIDUAL TERREO</t>
  </si>
  <si>
    <t>HOSPEDAGEM</t>
  </si>
  <si>
    <t>HOSPEDAGEM INDIVIDUAL 1A</t>
  </si>
  <si>
    <t>HOSPEDAGEM CASAL TERREO</t>
  </si>
  <si>
    <t>HOSPEDAGEM CASAL 1A</t>
  </si>
  <si>
    <t>HOSPEDAGEM ADIC CRIANCAS</t>
  </si>
  <si>
    <t>HOSPEDAGEM ADIC ADOLESC E ADUL</t>
  </si>
  <si>
    <t>SALPICAO P</t>
  </si>
  <si>
    <t>TRIDENT MENTA</t>
  </si>
  <si>
    <t>CHEETOS BOLA QUEIJO SUICO</t>
  </si>
  <si>
    <t>CHEETOS ONDA REQUEIJAO</t>
  </si>
  <si>
    <t>CHEETOS LUA PARMESAO</t>
  </si>
  <si>
    <t>DORITOS NACHO</t>
  </si>
  <si>
    <t>FANDANGOS PRESUNTO</t>
  </si>
  <si>
    <t>FANDANGOS QUEIJO</t>
  </si>
  <si>
    <t>RUFFLES CEBOLA E SALSA</t>
  </si>
  <si>
    <t>RUFFLES CHURRASCO</t>
  </si>
  <si>
    <t>RUFFLES SAL ORIGINAL</t>
  </si>
  <si>
    <t>SENSACOES FRANGO GRELHADO</t>
  </si>
  <si>
    <t>SENSACOES PEITO DE PERU</t>
  </si>
  <si>
    <t>PICOLE PARDAL CLASS BRIGADEIRO</t>
  </si>
  <si>
    <t>PICOLE PARDAL CLASS CHOCOLATE</t>
  </si>
  <si>
    <t>PICOLE PARDAL CLASS FLOCOS</t>
  </si>
  <si>
    <t>PICOLE PARDAL CLASS MORANGO</t>
  </si>
  <si>
    <t>PICOLE PARDAL ORIG ACAI BANANA</t>
  </si>
  <si>
    <t>PICOLE PARDAL ORIG CAJA</t>
  </si>
  <si>
    <t>PICOLE PARDAL ORIG CASTANHA</t>
  </si>
  <si>
    <t>PICOLE PARDAL ORIG COCO</t>
  </si>
  <si>
    <t>PICOLE PARDAL ORIG MILHO</t>
  </si>
  <si>
    <t>PICOLE PARDAL ORIG TAPIOCA</t>
  </si>
  <si>
    <t>PICOLE PARDAL FUN CHICLETE</t>
  </si>
  <si>
    <t>PICOLE PARDAL FUN DOCE D LEITE</t>
  </si>
  <si>
    <t>PICOLE PARDAL FUN LEITE COND</t>
  </si>
  <si>
    <t>PICOLE PARDAL FUN MOCA LINDA</t>
  </si>
  <si>
    <t>PICOLE PARDAL FUN PEDAC DO CEU</t>
  </si>
  <si>
    <t>PICOLE PARDAL FUN UVA</t>
  </si>
  <si>
    <t>PICOLE PARDAL LIVRE ABACAXI</t>
  </si>
  <si>
    <t>PICOLE PARDAL LIVRE LIMAO</t>
  </si>
  <si>
    <t>PICOLE PARDAL LIVRE MARACUJA</t>
  </si>
  <si>
    <t>PICOLE PARDAL LIVRE TANGERINA</t>
  </si>
  <si>
    <t>PICOLE PARDAL SUPRA ACAI</t>
  </si>
  <si>
    <t>PICOLE PARDAL SUPRA CASTANHA</t>
  </si>
  <si>
    <t>PICOLE PARDAL SUPRA CHOCOLATE</t>
  </si>
  <si>
    <t>PICOLE PARDAL SUPRA CHOC BRANC</t>
  </si>
  <si>
    <t>PICOLE PARDAL SUPRA MOUSSE LIM</t>
  </si>
  <si>
    <t>PICOLE PARDAL SUPRA NAPOLITANO</t>
  </si>
  <si>
    <t>SORV PARDAL CLASS BRIGAD 140ML</t>
  </si>
  <si>
    <t>SORV PARDAL CLASS FLOCOS 140ML</t>
  </si>
  <si>
    <t>SORV PARDAL CLASS MORANG 140ML</t>
  </si>
  <si>
    <t>SORV PARDAL CLASS NAPOLI 140ML</t>
  </si>
  <si>
    <t>SORV PARDAL ORIG CASTAN 140ML</t>
  </si>
  <si>
    <t>SORV PARDAL ORIG CREME P 140ML</t>
  </si>
  <si>
    <t>SORV PARDAL FUN 3 CHOC 140ML</t>
  </si>
  <si>
    <t>SORV PARDAL FUN MENTA 140 ML</t>
  </si>
  <si>
    <t>SORV PARDAL SUNDAE CHOC 140ML</t>
  </si>
  <si>
    <t>SORV PARDAL SUNDAE MORAN 140ML</t>
  </si>
  <si>
    <t>PICOLE QUICK DLEITE CHOCOLATE</t>
  </si>
  <si>
    <t>PICOLE QUICK DLEITE COCO</t>
  </si>
  <si>
    <t>PICOLE QUICK DLEITE LEITE COND</t>
  </si>
  <si>
    <t>PICOLE QUICK DLEITE MORANGO</t>
  </si>
  <si>
    <t>PICOLE QUICK EXC COOKIES E CRE</t>
  </si>
  <si>
    <t>PICOLE QUICK EXC FONDUE DE MOR</t>
  </si>
  <si>
    <t>PICOLE QUICK EXC MARACUJA</t>
  </si>
  <si>
    <t>PICOLE QUICK EXC MORANGO NORDE</t>
  </si>
  <si>
    <t>PICOLE QUICK EXC PETIT GATEAU</t>
  </si>
  <si>
    <t>PICOLE QUICK EXC TRADIC</t>
  </si>
  <si>
    <t>PICOLE QUICK EXOT ACAI LEITE</t>
  </si>
  <si>
    <t>PICOLE QUICK EXOT CASTA CAJU</t>
  </si>
  <si>
    <t>PICOLE QUICK EXOT CUSCUZ LEITE</t>
  </si>
  <si>
    <t>PICOLE QUICK EXOT TAPIOCA</t>
  </si>
  <si>
    <t>PICOLE QUICK TRAD BEL LACK</t>
  </si>
  <si>
    <t>PICOLE QUICK TRAD BRIGADEIRO</t>
  </si>
  <si>
    <t>PICOLE QUICK TRAD CHOCOBARRA</t>
  </si>
  <si>
    <t>PICOLE QUICK TRAD NINHO TRUFAD</t>
  </si>
  <si>
    <t>PICOLE QUICK TRAD SKIMO</t>
  </si>
  <si>
    <t>PICOLE QUICK TRAD SUBLIME</t>
  </si>
  <si>
    <t>SORV QUICK CONE BRIGADEIRO</t>
  </si>
  <si>
    <t>SORV QUICK CONE FLOCOS</t>
  </si>
  <si>
    <t>SORV QUICK MAIS BAUNILHA</t>
  </si>
  <si>
    <t>SORV QUICK MAIS BOMBOM</t>
  </si>
  <si>
    <t>SORV QUICK MAIS MORANGO</t>
  </si>
  <si>
    <t>SORV QUICK MINICUP FLOCOS</t>
  </si>
  <si>
    <t>SORV QUICK MINICUP LEITE CONDE</t>
  </si>
  <si>
    <t>SORV QUICK MINICUP MORANGO</t>
  </si>
  <si>
    <t>SORV QUICK SUNDAE BAUNILHA</t>
  </si>
  <si>
    <t>SORV QUICK SUNDAE BOMBOM</t>
  </si>
  <si>
    <t>SORV QUICK SUNDAE MORANGO</t>
  </si>
  <si>
    <t>CAIPIVODKA PISCINAO</t>
  </si>
  <si>
    <t>COQUETEL COM ALCOOL ABACAXI</t>
  </si>
  <si>
    <t>COQUETEL COM ALCOOL LIMAO</t>
  </si>
  <si>
    <t>COQUETEL COM ALCOOL MARACUJA</t>
  </si>
  <si>
    <t>COQUETEL COM ALCOOL MORANGO</t>
  </si>
  <si>
    <t>COQUETEL SEM ALCOOL ABACAXI</t>
  </si>
  <si>
    <t>COQUETEL SEM ALCOOL LIMAO</t>
  </si>
  <si>
    <t>COQUETEL SEM ALCOOL MARACUJA</t>
  </si>
  <si>
    <t>COQUETEL SEM ALCOOL MORANGO</t>
  </si>
  <si>
    <t>CUSCUZ</t>
  </si>
  <si>
    <t>CAFE DA MANHA</t>
  </si>
  <si>
    <t>FATIA DE BOLO COMUM</t>
  </si>
  <si>
    <t>FATIA DE MAMAO</t>
  </si>
  <si>
    <t>FATIA DE MELAO</t>
  </si>
  <si>
    <t>FATIA DE PRESUNTO</t>
  </si>
  <si>
    <t>FATIA DE QUEIJO COALHO</t>
  </si>
  <si>
    <t>PAO COMUM</t>
  </si>
  <si>
    <t>TAPIOCA</t>
  </si>
  <si>
    <t>XICARA DE CAFE</t>
  </si>
  <si>
    <t>XICARA DE LEITE</t>
  </si>
  <si>
    <t>GIN ROCKS GF</t>
  </si>
  <si>
    <t>LICOR CREME DE MENTA GF</t>
  </si>
  <si>
    <t>LICOR CURACAU BLUE GF</t>
  </si>
  <si>
    <t>RUM BACARDI GF</t>
  </si>
  <si>
    <t>carne de sol mp</t>
  </si>
  <si>
    <t>CARNES BOVINAS</t>
  </si>
  <si>
    <t>contra file mp</t>
  </si>
  <si>
    <t>cordao do file mignon mp</t>
  </si>
  <si>
    <t>file mignon mp</t>
  </si>
  <si>
    <t>fraldinha mp</t>
  </si>
  <si>
    <t>picanha importada mp</t>
  </si>
  <si>
    <t>agua para producao mp</t>
  </si>
  <si>
    <t>AGUA PARA PRODUCAO</t>
  </si>
  <si>
    <t>batata pre frita mp</t>
  </si>
  <si>
    <t>CONGELADOS</t>
  </si>
  <si>
    <t>alcaparra mp</t>
  </si>
  <si>
    <t>CONSERVAS</t>
  </si>
  <si>
    <t>cogumelo champignon mp</t>
  </si>
  <si>
    <t>fiambre mp</t>
  </si>
  <si>
    <t>EMBUTIDOS</t>
  </si>
  <si>
    <t>lanche apresuntado mp</t>
  </si>
  <si>
    <t>linguica calabresa mp</t>
  </si>
  <si>
    <t>linguica suina mp</t>
  </si>
  <si>
    <t>presunto de peru mp</t>
  </si>
  <si>
    <t>salsicha mp</t>
  </si>
  <si>
    <t>coxa e sobrecoxa mp</t>
  </si>
  <si>
    <t>FRANGOS E DERIVADOS</t>
  </si>
  <si>
    <t>file de peito de frango mp</t>
  </si>
  <si>
    <t>frango inteiro mp</t>
  </si>
  <si>
    <t>galinha inteira mp</t>
  </si>
  <si>
    <t>ovo mp</t>
  </si>
  <si>
    <t>coentro mp</t>
  </si>
  <si>
    <t>HORTIFRUTI</t>
  </si>
  <si>
    <t>mamao mp</t>
  </si>
  <si>
    <t>melao mp</t>
  </si>
  <si>
    <t>pimentao mp</t>
  </si>
  <si>
    <t>tomate mp</t>
  </si>
  <si>
    <t>laranja mp</t>
  </si>
  <si>
    <t>limao mp</t>
  </si>
  <si>
    <t>maracuja mp</t>
  </si>
  <si>
    <t>morango mp</t>
  </si>
  <si>
    <t>abacaxi mp</t>
  </si>
  <si>
    <t>aipim mp</t>
  </si>
  <si>
    <t>alface mp</t>
  </si>
  <si>
    <t>alho mp</t>
  </si>
  <si>
    <t>batata inglesa mp</t>
  </si>
  <si>
    <t>brocolis mp</t>
  </si>
  <si>
    <t>cebola branca mp</t>
  </si>
  <si>
    <t>cenoura mp</t>
  </si>
  <si>
    <t>leite mp</t>
  </si>
  <si>
    <t>LATICINIOS</t>
  </si>
  <si>
    <t>leite condensado mp</t>
  </si>
  <si>
    <t>margarina mp</t>
  </si>
  <si>
    <t>queijo coalho mp</t>
  </si>
  <si>
    <t>queijo mussarela mp</t>
  </si>
  <si>
    <t>oleo composto soja e oliva mp</t>
  </si>
  <si>
    <t>OLEOS E GORDURAS</t>
  </si>
  <si>
    <t>salmao mp</t>
  </si>
  <si>
    <t>PEIXES E FRUTOS DO MAR</t>
  </si>
  <si>
    <t>tilapia mp</t>
  </si>
  <si>
    <t>camarao mp</t>
  </si>
  <si>
    <t>acucar mp</t>
  </si>
  <si>
    <t>SECOS E MERCEARIA</t>
  </si>
  <si>
    <t>arroz branco mp</t>
  </si>
  <si>
    <t>arroz parboilizado mp</t>
  </si>
  <si>
    <t>bolo comum mp</t>
  </si>
  <si>
    <t>creme culinario mp</t>
  </si>
  <si>
    <t>ervilha mp</t>
  </si>
  <si>
    <t>extrato de tomate mp</t>
  </si>
  <si>
    <t>farinha de mandioca mp</t>
  </si>
  <si>
    <t>farinha de rosca mp</t>
  </si>
  <si>
    <t>farinha de trigo mp</t>
  </si>
  <si>
    <t>feijao branco mp</t>
  </si>
  <si>
    <t>feijao preto mp</t>
  </si>
  <si>
    <t>flocos de milho mp</t>
  </si>
  <si>
    <t>goma mp</t>
  </si>
  <si>
    <t>ketchup mp</t>
  </si>
  <si>
    <t>leite de coco mp</t>
  </si>
  <si>
    <t>macarrao espaguete mp</t>
  </si>
  <si>
    <t>maionese mp</t>
  </si>
  <si>
    <t>molho de tomate mp</t>
  </si>
  <si>
    <t>molho escuro em po mp</t>
  </si>
  <si>
    <t>molho madeira em po mp</t>
  </si>
  <si>
    <t>molho tonkatsu mp</t>
  </si>
  <si>
    <t>sal grosso mp</t>
  </si>
  <si>
    <t>sal refinado mp</t>
  </si>
  <si>
    <t>vinagre mp</t>
  </si>
  <si>
    <t>bacon mp</t>
  </si>
  <si>
    <t>SUINOS E DERIVADOS</t>
  </si>
  <si>
    <t>carne suina mp</t>
  </si>
  <si>
    <t>carne suina funcionarios mp</t>
  </si>
  <si>
    <t>costela suina mp</t>
  </si>
  <si>
    <t>toucinho mp</t>
  </si>
  <si>
    <t>amaciante de carne mp</t>
  </si>
  <si>
    <t>TEMPEROS E CORANTES</t>
  </si>
  <si>
    <t>coloral mp</t>
  </si>
  <si>
    <t>manjericao mp</t>
  </si>
  <si>
    <t>acafrao em po mp</t>
  </si>
  <si>
    <t>suino limpo mp</t>
  </si>
  <si>
    <t>cobertura de chocolate mp</t>
  </si>
  <si>
    <t>XAROPES E COBERTURAS</t>
  </si>
  <si>
    <t>cobertura de morango mp</t>
  </si>
  <si>
    <t>groselha asa branca mp</t>
  </si>
  <si>
    <t>suco em po de morango mp</t>
  </si>
  <si>
    <t>azeite de oliva mp</t>
  </si>
  <si>
    <t>AZEITES</t>
  </si>
  <si>
    <t>cafe em po mp</t>
  </si>
  <si>
    <t>CAFES</t>
  </si>
  <si>
    <t>gelo mp</t>
  </si>
  <si>
    <t>GELO</t>
  </si>
  <si>
    <t>molho de pimenta tabasco mp</t>
  </si>
  <si>
    <t>MOLHOS</t>
  </si>
  <si>
    <t>oleo de soja</t>
  </si>
  <si>
    <t>OLEO DE SOJA</t>
  </si>
  <si>
    <t>palito dental</t>
  </si>
  <si>
    <t>PALITO DENTAL</t>
  </si>
  <si>
    <t>guardanapo</t>
  </si>
  <si>
    <t>GUARDANAPOS E PAPEL TOALHA</t>
  </si>
  <si>
    <t>carvao</t>
  </si>
  <si>
    <t>CARVAO</t>
  </si>
  <si>
    <t>gas</t>
  </si>
  <si>
    <t>GAS</t>
  </si>
  <si>
    <t>prep cafe</t>
  </si>
  <si>
    <t>PRE PREPARO BAR</t>
  </si>
  <si>
    <t>prep leite cozido</t>
  </si>
  <si>
    <t>prep polpa maracuja com sement</t>
  </si>
  <si>
    <t>prep polpa maracuja sem sement</t>
  </si>
  <si>
    <t>prep alho em pasta</t>
  </si>
  <si>
    <t>PRE PREPARO COZINHA</t>
  </si>
  <si>
    <t>prep alho sem casca</t>
  </si>
  <si>
    <t>prep arroz cozido</t>
  </si>
  <si>
    <t>prep bacon picado</t>
  </si>
  <si>
    <t>prep batata palha frita</t>
  </si>
  <si>
    <t>prep carne suina limpa</t>
  </si>
  <si>
    <t>prep cebola branc sem casca</t>
  </si>
  <si>
    <t>prep cenoura picada</t>
  </si>
  <si>
    <t>prep coentro picado</t>
  </si>
  <si>
    <t>prep contra file limpo</t>
  </si>
  <si>
    <t>prep cordao do file mignon</t>
  </si>
  <si>
    <t>prep cordao file mignon moido</t>
  </si>
  <si>
    <t>prep costela suina</t>
  </si>
  <si>
    <t>prep derivados do cordao fm</t>
  </si>
  <si>
    <t>prep feijao branco cozido</t>
  </si>
  <si>
    <t>prep feijao preto cozido</t>
  </si>
  <si>
    <t>prep file de peito frango</t>
  </si>
  <si>
    <t>prep file de tilapia</t>
  </si>
  <si>
    <t>prep fraldinha moida</t>
  </si>
  <si>
    <t>prep lanche apresunt picado</t>
  </si>
  <si>
    <t>prep legumes a grega</t>
  </si>
  <si>
    <t>prep massa fettuccine</t>
  </si>
  <si>
    <t>prep massa rondelli</t>
  </si>
  <si>
    <t>prep molho branco</t>
  </si>
  <si>
    <t>prep molho madeira</t>
  </si>
  <si>
    <t>prep molho rose</t>
  </si>
  <si>
    <t>prep molho vermelho</t>
  </si>
  <si>
    <t>prep oleo de porco</t>
  </si>
  <si>
    <t>prep pimentao picado</t>
  </si>
  <si>
    <t>porcao aipim limpo e cozido</t>
  </si>
  <si>
    <t>porcao brocolis limpo e cozido</t>
  </si>
  <si>
    <t>porcao de camarao</t>
  </si>
  <si>
    <t>porcao linguica suina</t>
  </si>
  <si>
    <t>porcao frango a passarinho</t>
  </si>
  <si>
    <t>porcao nugget frango</t>
  </si>
  <si>
    <t>porcao nugget peixe</t>
  </si>
  <si>
    <t>porcao queijo milanesa</t>
  </si>
  <si>
    <t>prep recheio do rondelli</t>
  </si>
  <si>
    <t>prep rondelli massa recheada</t>
  </si>
  <si>
    <t>prep file de salmao</t>
  </si>
  <si>
    <t>tilapia limpa mp</t>
  </si>
  <si>
    <t>bobina picotada 20x30</t>
  </si>
  <si>
    <t>BOBINAS</t>
  </si>
  <si>
    <t>bobina picotada 30x40</t>
  </si>
  <si>
    <t>bobina picotada 40x60</t>
  </si>
  <si>
    <t>canudo plastico</t>
  </si>
  <si>
    <t>DESCARTAVEIS</t>
  </si>
  <si>
    <t>copo descartavel 180ml</t>
  </si>
  <si>
    <t>copo descartavel 50ml</t>
  </si>
  <si>
    <t>copo descartavel 400ml</t>
  </si>
  <si>
    <t>guarda chuva coquetel</t>
  </si>
  <si>
    <t>pote descartavel 100ml</t>
  </si>
  <si>
    <t>tampa descartavel 100ml</t>
  </si>
  <si>
    <t>embalagem para pudim</t>
  </si>
  <si>
    <t>quentinha de aluminio</t>
  </si>
  <si>
    <t>quentinha de isopor m50</t>
  </si>
  <si>
    <t>azulim</t>
  </si>
  <si>
    <t>MATERIAIS DE LIMPEZA</t>
  </si>
  <si>
    <t>barrilha</t>
  </si>
  <si>
    <t>MATERIAIS DA PISCINA</t>
  </si>
  <si>
    <t>cloro</t>
  </si>
  <si>
    <t>elevador de alcalinidade</t>
  </si>
  <si>
    <t>sulfato</t>
  </si>
  <si>
    <t>inseticida zero in</t>
  </si>
  <si>
    <t>MATERIAIS DE DEDETIZACAO</t>
  </si>
  <si>
    <t>agua sanitaria</t>
  </si>
  <si>
    <t>alcool em gel</t>
  </si>
  <si>
    <t>alcool liquido</t>
  </si>
  <si>
    <t>cera liquida</t>
  </si>
  <si>
    <t>desinfetante liquido</t>
  </si>
  <si>
    <t>detergente liquido</t>
  </si>
  <si>
    <t>esponja de lavar louca</t>
  </si>
  <si>
    <t>limpa alumínio</t>
  </si>
  <si>
    <t>luva latex multiuso</t>
  </si>
  <si>
    <t>multiuso original cif</t>
  </si>
  <si>
    <t>pano de chao</t>
  </si>
  <si>
    <t>papel higienico</t>
  </si>
  <si>
    <t>papel toalha</t>
  </si>
  <si>
    <t>pedra sanitaria</t>
  </si>
  <si>
    <t>sabao em po</t>
  </si>
  <si>
    <t>saco de lixo 100L</t>
  </si>
  <si>
    <t>saco de lixo 60L</t>
  </si>
  <si>
    <t>sacola plastica branca 38x48</t>
  </si>
  <si>
    <t>SACOLAS</t>
  </si>
  <si>
    <t>sacola reforcada verde</t>
  </si>
  <si>
    <t>sacola reciclavel</t>
  </si>
  <si>
    <t>porcao carne de sol</t>
  </si>
  <si>
    <t>prep aipim limpo e cozido</t>
  </si>
  <si>
    <t>prep brocolis limpo e cozido</t>
  </si>
  <si>
    <t>CO CM ARROZ A GREGA</t>
  </si>
  <si>
    <t>COMBOS ITENS</t>
  </si>
  <si>
    <t>CO CM ARROZ A PIAMONTESE</t>
  </si>
  <si>
    <t>CO CM ARROZ BRANCO</t>
  </si>
  <si>
    <t>CO CM ARROZ COM ACAFRAO</t>
  </si>
  <si>
    <t>CO CM ARROZ COM BROCOLIS</t>
  </si>
  <si>
    <t>CO CM ARROZ DE FORNO</t>
  </si>
  <si>
    <t>CO CM ARROZ MALUCO</t>
  </si>
  <si>
    <t>CO CM BAIAO DE DOIS</t>
  </si>
  <si>
    <t>CO EXEC ARROZ A GREGA</t>
  </si>
  <si>
    <t>CO EXEC ARROZ A PIAMONTESE</t>
  </si>
  <si>
    <t>CO EXEC ARROZ BRANCO</t>
  </si>
  <si>
    <t>CO EXEC ARROZ COM ACAFRAO</t>
  </si>
  <si>
    <t>CO EXEC ARROZ COM BROCOLIS</t>
  </si>
  <si>
    <t>CO EXEC ARROZ DE FORNO</t>
  </si>
  <si>
    <t>CO EXEC ARROZ MALUCO</t>
  </si>
  <si>
    <t>CO EXEC BAIAO DE DOIS</t>
  </si>
  <si>
    <t>CO BATATA FRITA</t>
  </si>
  <si>
    <t>CO AIPIM FRITO</t>
  </si>
  <si>
    <t>aperitivo campari mp</t>
  </si>
  <si>
    <t>APERITIVAS</t>
  </si>
  <si>
    <t>cachaca 51 ouro mp</t>
  </si>
  <si>
    <t>CACHACAS</t>
  </si>
  <si>
    <t>cachaca 51 prata mp</t>
  </si>
  <si>
    <t>cachaca velho barreiro mp</t>
  </si>
  <si>
    <t>cachaca ypioca 150 mp</t>
  </si>
  <si>
    <t>cachaca ypioca empalhada mp</t>
  </si>
  <si>
    <t>cachaca ypioca ouro mp</t>
  </si>
  <si>
    <t>cachaca ypioca prata mp</t>
  </si>
  <si>
    <t>conhaque dreher mp</t>
  </si>
  <si>
    <t>CONHAQUES</t>
  </si>
  <si>
    <t>gin rocks mp</t>
  </si>
  <si>
    <t>GINS</t>
  </si>
  <si>
    <t>gin tanqueray mp</t>
  </si>
  <si>
    <t>licor 43 mp</t>
  </si>
  <si>
    <t>licor cointreau mp</t>
  </si>
  <si>
    <t>LICORES</t>
  </si>
  <si>
    <t>licor creme de menta mp</t>
  </si>
  <si>
    <t>licor curacau blue mp</t>
  </si>
  <si>
    <t>licor fogo paulista mp</t>
  </si>
  <si>
    <t>rum bacardi mp</t>
  </si>
  <si>
    <t>RUNS</t>
  </si>
  <si>
    <t>rum malibu mp</t>
  </si>
  <si>
    <t>rum montila ouro mp</t>
  </si>
  <si>
    <t>rum montila prata mp</t>
  </si>
  <si>
    <t>tequila jose cuervo ouro mp</t>
  </si>
  <si>
    <t>TEQUILAS</t>
  </si>
  <si>
    <t>tequila jose cuervo prata mp</t>
  </si>
  <si>
    <t>tequila sauza mp</t>
  </si>
  <si>
    <t>tequila tequiloka mp</t>
  </si>
  <si>
    <t>vodka absolut mp</t>
  </si>
  <si>
    <t>VODKAS</t>
  </si>
  <si>
    <t>vodka ciroc mp</t>
  </si>
  <si>
    <t>vodka orloff mp</t>
  </si>
  <si>
    <t>vodka skyy mp</t>
  </si>
  <si>
    <t>vodka slova mp</t>
  </si>
  <si>
    <t>vodka smirnoff mp</t>
  </si>
  <si>
    <t>whisky ballantines 12a mp</t>
  </si>
  <si>
    <t>WHISKIES</t>
  </si>
  <si>
    <t>whisky ballantines 8a mp</t>
  </si>
  <si>
    <t>whisky black white mp</t>
  </si>
  <si>
    <t>whisky black label mp</t>
  </si>
  <si>
    <t>whisky buchanas deluxe mp</t>
  </si>
  <si>
    <t>whisky chivas regal mp</t>
  </si>
  <si>
    <t>whisky jack daniels mp</t>
  </si>
  <si>
    <t>whisky old parr mp</t>
  </si>
  <si>
    <t>whisky red label mp</t>
  </si>
  <si>
    <t>whisky teachers mp</t>
  </si>
  <si>
    <t>whisky white horse mp</t>
  </si>
  <si>
    <t>BROWNIE NINHO</t>
  </si>
  <si>
    <t>BROWNIE CHOCOLATE</t>
  </si>
  <si>
    <t>BOLO DE POTE NINHO</t>
  </si>
  <si>
    <t>BOLO DE POTE CHOCOLATE</t>
  </si>
  <si>
    <t>CO CACHACA 51 PRATA</t>
  </si>
  <si>
    <t>CO CACHACA VELHO BARREIRO</t>
  </si>
  <si>
    <t>CO CACHACA YPIOCA OURO</t>
  </si>
  <si>
    <t>CO CACHACA YPIOCA PRATA</t>
  </si>
  <si>
    <t>CO ABSOLUT</t>
  </si>
  <si>
    <t>CO ORLOFF</t>
  </si>
  <si>
    <t>CO SLOVA</t>
  </si>
  <si>
    <t>CO SMIRNOFF</t>
  </si>
  <si>
    <t>CO PISC ABSOLUT</t>
  </si>
  <si>
    <t>CO PISC ORLOFF</t>
  </si>
  <si>
    <t>CO PISC SLOVA</t>
  </si>
  <si>
    <t>CO PISC SMIRNOFF</t>
  </si>
  <si>
    <t>LAYS SOUR CREAM</t>
  </si>
  <si>
    <t>mistura de requeijao mp</t>
  </si>
  <si>
    <t>prep farofa</t>
  </si>
  <si>
    <t>prep vinagrete</t>
  </si>
  <si>
    <t>ARROZ A GREGA KG</t>
  </si>
  <si>
    <t>ARROZ A PIAMONTESE KG</t>
  </si>
  <si>
    <t>ARROZ BRANCO KG</t>
  </si>
  <si>
    <t>ARROZ COM ACAFRAO KG</t>
  </si>
  <si>
    <t>ARROZ COM BROCOLIS KG</t>
  </si>
  <si>
    <t>ARROZ DE FORNO KG</t>
  </si>
  <si>
    <t>ARROZ MALUCO KG</t>
  </si>
  <si>
    <t>prep file mignon</t>
  </si>
  <si>
    <t>porcao fettuccine</t>
  </si>
  <si>
    <t>coco verde mp</t>
  </si>
  <si>
    <t>prep salpicao</t>
  </si>
  <si>
    <t>BATATA ROSTI KG</t>
  </si>
  <si>
    <t>MACARRAO ESPAGUETE KG</t>
  </si>
  <si>
    <t>SALADA VERDE KG</t>
  </si>
  <si>
    <t>CO QUENT ARROZ A GREGA</t>
  </si>
  <si>
    <t>CO QUENT ARROZ A PIAMONTESE</t>
  </si>
  <si>
    <t>CO QUENT ARROZ BRANCO</t>
  </si>
  <si>
    <t>CO QUENT ARROZ COM ACAFRAO</t>
  </si>
  <si>
    <t>CO QUENT ARROZ COM BROCOLIS</t>
  </si>
  <si>
    <t>CO QUENT ARROZ DE FORNO</t>
  </si>
  <si>
    <t>CO QUENT ARROZ MALUCO</t>
  </si>
  <si>
    <t>CO QUENT BAIAO DE DOIS</t>
  </si>
  <si>
    <t>CO COMP ARROZ A GREGA</t>
  </si>
  <si>
    <t>CO COMP ARROZ A PIAMONTESE</t>
  </si>
  <si>
    <t>CO COMP ARROZ BRANCO</t>
  </si>
  <si>
    <t>CO COMP ARROZ COM ACAFRAO</t>
  </si>
  <si>
    <t>CO COMP ARROZ COM BROCOLIS</t>
  </si>
  <si>
    <t>CO COMP ARROZ DE FORNO</t>
  </si>
  <si>
    <t>CO COMP ARROZ MALUCO</t>
  </si>
  <si>
    <t>CO COMP BAIAO DE DOIS</t>
  </si>
  <si>
    <t>CO MEIO ARROZ A GREGA</t>
  </si>
  <si>
    <t>CO MEIO ARROZ A PIAMONTESE</t>
  </si>
  <si>
    <t>CO MEIO ARROZ BRANCO</t>
  </si>
  <si>
    <t>CO MEIO ARROZ COM ACAFRAO</t>
  </si>
  <si>
    <t>CO MEIO ARROZ COM BROCOLIS</t>
  </si>
  <si>
    <t>CO MEIO ARROZ DE FORNO</t>
  </si>
  <si>
    <t>CO MEIO ARROZ MALUCO</t>
  </si>
  <si>
    <t>CO MEIO BAIAO DE DOIS</t>
  </si>
  <si>
    <t>BAIAO DE DOIS KG</t>
  </si>
  <si>
    <t>prep fiambre picado</t>
  </si>
  <si>
    <t>vinho casal garcia mp</t>
  </si>
  <si>
    <t>VINHOS</t>
  </si>
  <si>
    <t>vinho casileiro del diablo mp</t>
  </si>
  <si>
    <t>vinho o gaucho seco mp</t>
  </si>
  <si>
    <t>vinho o gaucho suave mp</t>
  </si>
  <si>
    <t>vinho quinta do morg seco mp</t>
  </si>
  <si>
    <t>vinho quinta do morg suave mp</t>
  </si>
  <si>
    <t>vinho pergola mp</t>
  </si>
  <si>
    <t>vinho reservado mp</t>
  </si>
  <si>
    <t>vinho saint germain mp</t>
  </si>
  <si>
    <t>figado de frango mp</t>
  </si>
  <si>
    <t>sardinha mp</t>
  </si>
  <si>
    <t>MEIO NUGGET DE FRANGO</t>
  </si>
  <si>
    <t>MEIO NUGGET DE PEIXE</t>
  </si>
  <si>
    <t>PRATO CAMARAO AO ALHO E OLEO</t>
  </si>
  <si>
    <t>LINGUICA TOSCANA</t>
  </si>
  <si>
    <t>VINAGRETE E FAROFA</t>
  </si>
  <si>
    <t>PECAS DE RONDELLI 5 UN</t>
  </si>
  <si>
    <t>DRY MARTINI</t>
  </si>
  <si>
    <t>vermute martini rosato mp</t>
  </si>
  <si>
    <t>vermute martini bianco mp</t>
  </si>
  <si>
    <t>folha de louro mp</t>
  </si>
  <si>
    <t>porcao de fraldinha moida</t>
  </si>
  <si>
    <t>porcao cordao file mignon moid</t>
  </si>
  <si>
    <t>tampa quentinha de isopor m50</t>
  </si>
  <si>
    <t>tampa pote descartavel 100ml</t>
  </si>
  <si>
    <t>costela bovina mp</t>
  </si>
  <si>
    <t>PICOLE PARDAL SUPRA COOKIES</t>
  </si>
  <si>
    <t>PICOLE PARDAL VITA ACAI</t>
  </si>
  <si>
    <t>PICOLE PARDAL VITA CAJA</t>
  </si>
  <si>
    <t>PICOLE PARDAL VITA MORANGO</t>
  </si>
  <si>
    <t>CO SKYY</t>
  </si>
  <si>
    <t>ENERG MONSTER LATA 473ML</t>
  </si>
  <si>
    <t>HOSPEDAGEM E CAFE DA MANHA</t>
  </si>
  <si>
    <t>COCA-COLA ZERO 2L</t>
  </si>
  <si>
    <t>COCA-COLA ZERO 600ML</t>
  </si>
  <si>
    <t>PEIXE FRITO SIMPLES</t>
  </si>
  <si>
    <t>ROLINHOS DE AIPIM</t>
  </si>
  <si>
    <t>GUARANA ANTARCTICA 600ML</t>
  </si>
  <si>
    <t>ENERG RED BULL LATA 250ML</t>
  </si>
  <si>
    <t>ESTROGONOFE</t>
  </si>
  <si>
    <t>SORV PARDAL FUN MOCA LIN 140ML</t>
  </si>
  <si>
    <t>TACA VINHO PERGOLA</t>
  </si>
  <si>
    <t>feijao carioca mp</t>
  </si>
  <si>
    <t>file de camarao mp</t>
  </si>
  <si>
    <t>colher de mesa inox</t>
  </si>
  <si>
    <t>TALHERES</t>
  </si>
  <si>
    <t>travesa 30cm</t>
  </si>
  <si>
    <t>BANDEIJAS</t>
  </si>
  <si>
    <t>travessa 35cm</t>
  </si>
  <si>
    <t>pote com tampa 5.5L</t>
  </si>
  <si>
    <t>frigideira francesa 28cm</t>
  </si>
  <si>
    <t>PANELAS E FRIGIDEIRAS</t>
  </si>
  <si>
    <t>frigideira aluminio 16cm</t>
  </si>
  <si>
    <t>PICOLE PARDAL SUPRA PISTACHE</t>
  </si>
  <si>
    <t>BARRA CHOCOLATE GAROTO CORES</t>
  </si>
  <si>
    <t>BARRA CHOCOLATE GAROTO CROCANT</t>
  </si>
  <si>
    <t>BARRA CHOCOLATE GAROTO LEITE</t>
  </si>
  <si>
    <t>SORV QUICK SUNDAE</t>
  </si>
  <si>
    <t>SORV QUICK CONE</t>
  </si>
  <si>
    <t>SORV QUICK MAIS</t>
  </si>
  <si>
    <t>SORV QUICK MINI</t>
  </si>
  <si>
    <t>azeite de dende mp</t>
  </si>
  <si>
    <t>SKOL BEATS SENSES LATA 269ML</t>
  </si>
  <si>
    <t>BEBIDAS MISTAS</t>
  </si>
  <si>
    <t>PRATO FEITO DE LINGUICA</t>
  </si>
  <si>
    <t>SALPICAO</t>
  </si>
  <si>
    <t>SORV PARDAL ORIG ACAI BAN 1,5L</t>
  </si>
  <si>
    <t>SORV PARDAL ORIG CASTANHA 1,5L</t>
  </si>
  <si>
    <t>SORV PARDAL ORIG CREME PA 1,5L</t>
  </si>
  <si>
    <t>SORV PARDAL ORIG MILHO 1,5L</t>
  </si>
  <si>
    <t>SORV PARDAL ORIG NATA GO 1,5L</t>
  </si>
  <si>
    <t>SORV PARDAL ORIG TAPIOCA 1,5L</t>
  </si>
  <si>
    <t>SORV PARDAL CLASS BRIGAD 1,5L</t>
  </si>
  <si>
    <t>SORV PARDAL CLASS CREME 1,5L</t>
  </si>
  <si>
    <t>SORV PARDAL CLASS FLOCOS 1,5L</t>
  </si>
  <si>
    <t>SORV PARDAL CLASS MORANGO 1,5L</t>
  </si>
  <si>
    <t>SORV PARDAL CLASS NAPOLIT 1,5L</t>
  </si>
  <si>
    <t>SORV PARDAL CLASS PAVE 1,5L</t>
  </si>
  <si>
    <t>SORV PARDAL FUN 3 CHOC 1,5L</t>
  </si>
  <si>
    <t>SORV PARDAL FUN DOCE LEIT 1,5L</t>
  </si>
  <si>
    <t>SORV PARDAL FUN MENTA 1,5L</t>
  </si>
  <si>
    <t>SORV PARDAL FUN MOCA LIND 1,5L</t>
  </si>
  <si>
    <t>FETTUCCINE A BOLONHESA</t>
  </si>
  <si>
    <t>TRIDENT HORTELA</t>
  </si>
  <si>
    <t>HALLS MENTA</t>
  </si>
  <si>
    <t>HALLS EXTRA FORTE</t>
  </si>
  <si>
    <t>COPO YPIOCA OURO</t>
  </si>
  <si>
    <t>COPO YPIOCA PRATA</t>
  </si>
  <si>
    <t>PRATO FEITO MISTO</t>
  </si>
  <si>
    <t>BUDWEISER LN 330ML</t>
  </si>
  <si>
    <t>FEIJAO BRANCO</t>
  </si>
  <si>
    <t>SORV PARDAL ORIG COCO RAP 1,5L</t>
  </si>
  <si>
    <t>SORV PARDAL CLASS BRIGAD 440ML</t>
  </si>
  <si>
    <t>SORV PARDAL ORIG CASTANH 440ML</t>
  </si>
  <si>
    <t>SORV PARDAL CLASS FLOCOS 440ML</t>
  </si>
  <si>
    <t>SORV PARDAL FUN MENTA 440ML</t>
  </si>
  <si>
    <t>SORV PARDAL CLASS NAPOLI 440ML</t>
  </si>
  <si>
    <t>SORV PARDAL FUN 3 CHOC 440ML</t>
  </si>
  <si>
    <t>POTE MOLHO MADEIRA</t>
  </si>
  <si>
    <t>COCA-COLA 1L</t>
  </si>
  <si>
    <t>COCA-COLA ZERO 1L</t>
  </si>
  <si>
    <t>CHURRASCO A GAUCHO SIMPLES</t>
  </si>
  <si>
    <t>conhaque domecq mp</t>
  </si>
  <si>
    <t>DOSE CONHAQUE DOMECQ</t>
  </si>
  <si>
    <t>PETIT GATEAU COM SORVETE</t>
  </si>
  <si>
    <t>GUARANA ANTARCTICA 1,5L</t>
  </si>
  <si>
    <t>GUARANA ANTARCTICA ZERO 1L</t>
  </si>
  <si>
    <t>EXEC FRANGO COM CATUPIRY</t>
  </si>
  <si>
    <t>PEDACO DE QUEIJO COALHO</t>
  </si>
  <si>
    <t>GARRAFA DE CAFE</t>
  </si>
  <si>
    <t>BANHO SEM CONSUMO</t>
  </si>
  <si>
    <t>PICOLE QUICK ZERO CHOCOLATE</t>
  </si>
  <si>
    <t>SORV QUICK COPAO</t>
  </si>
  <si>
    <t>SPRITE FRESH</t>
  </si>
  <si>
    <t>DOSE GIN ROCKS</t>
  </si>
  <si>
    <t>GUARANA ANTARCTICA ZERO 350 ML</t>
  </si>
  <si>
    <t>BUFFET 40</t>
  </si>
  <si>
    <t>BUFFET 41</t>
  </si>
  <si>
    <t>BUFFET 42</t>
  </si>
  <si>
    <t>BUFFET 43</t>
  </si>
  <si>
    <t>BUFFET 44</t>
  </si>
  <si>
    <t>BUFFET 45</t>
  </si>
  <si>
    <t>CO MOLHO BRANCO</t>
  </si>
  <si>
    <t>CO MOLHO VERMELHO</t>
  </si>
  <si>
    <t>CO SALPICAO</t>
  </si>
  <si>
    <t>CO SALADA VERDE</t>
  </si>
  <si>
    <t>SACO DE GELO</t>
  </si>
  <si>
    <t>TRIDENT MELANCIA</t>
  </si>
  <si>
    <t>CORONA LN 330ML</t>
  </si>
  <si>
    <t>DELRIO CAJU 250ML</t>
  </si>
  <si>
    <t>DELRIO CAJU</t>
  </si>
  <si>
    <t>DELRIO GUARANA 250ML</t>
  </si>
  <si>
    <t>DELRIO GUARANA 500ML</t>
  </si>
  <si>
    <t>PICOLE QUICK FRUT UVA</t>
  </si>
  <si>
    <t>GRAPETTE UVA ROXA 250ML</t>
  </si>
  <si>
    <t>bicarbonato</t>
  </si>
  <si>
    <t>CO EXEC BATATA FRITA</t>
  </si>
  <si>
    <t>CO EXEC SALPICAO</t>
  </si>
  <si>
    <t>CO PURE DE BATATA</t>
  </si>
  <si>
    <t>HALLS CEREJA</t>
  </si>
  <si>
    <t>BOMBOM OURO BRANCO</t>
  </si>
  <si>
    <t>STICK SONHO DE VALSA</t>
  </si>
  <si>
    <t>TRIDENT INTENSE</t>
  </si>
  <si>
    <t>TABLETE LACTA LAKA</t>
  </si>
  <si>
    <t>TABLETE LACTA AO LEITE</t>
  </si>
  <si>
    <t>COOKIES LACTA LAKA</t>
  </si>
  <si>
    <t>COOKIES LACTA AO LEITE</t>
  </si>
  <si>
    <t>BISCOITO OREO ORIGINAL</t>
  </si>
  <si>
    <t>BUBBALOO REC LIQ UVA</t>
  </si>
  <si>
    <t>BUBBALOO REC LIQ MORANGO</t>
  </si>
  <si>
    <t>BUBBALOO BALA MORANGO</t>
  </si>
  <si>
    <t>FLOR DOCE DE LEITE</t>
  </si>
  <si>
    <t>TRIDENT GF MENTA</t>
  </si>
  <si>
    <t>TRIDENT GF MORANGO LIME</t>
  </si>
  <si>
    <t>CABARE ICE LN 275ML</t>
  </si>
  <si>
    <t>EISENBAHN LN 330ML</t>
  </si>
  <si>
    <t>FANTA CAJU LT 350ML</t>
  </si>
  <si>
    <t>SPRITE ZERO LATA 350ML</t>
  </si>
  <si>
    <t>ENERG TNT JUICE MANGO LT 269ML</t>
  </si>
  <si>
    <t>SELF SERVICE SEM PESO</t>
  </si>
  <si>
    <t>SELF SERVICE ESPECIAL</t>
  </si>
  <si>
    <t>EXEC PICANHA</t>
  </si>
  <si>
    <t>COSTELA SUINA APERITIVO</t>
  </si>
  <si>
    <t>CO EXEC SALADA VERDE</t>
  </si>
  <si>
    <t>CO EXEC PURE DE BATATA</t>
  </si>
  <si>
    <t>DOSE CACHACA AVIADOR PRATA</t>
  </si>
  <si>
    <t>DOSE CACHACA AVIADOR PREMIUM</t>
  </si>
  <si>
    <t>DOSE GIN SEAGERS</t>
  </si>
  <si>
    <t>VINHO ARGENTO CABERNET GF</t>
  </si>
  <si>
    <t>VINHO ARGENTO MALBEC GF</t>
  </si>
  <si>
    <t>DOSE TEQUILA JOSE CUERVO ESPEC</t>
  </si>
  <si>
    <t>STELLA ARTOIS LN 330ML</t>
  </si>
  <si>
    <t>SPATEN LN 330ML</t>
  </si>
  <si>
    <t>TRIDENT MORANGO</t>
  </si>
  <si>
    <t>BOMBOM SONHO DE VALSA</t>
  </si>
  <si>
    <t>TABLETE LACTA DIAMENTE NEGRO</t>
  </si>
  <si>
    <t>STICK OURO BRANCO</t>
  </si>
  <si>
    <t>HALLS MELANCIA</t>
  </si>
  <si>
    <t>HALLS MORANGO</t>
  </si>
  <si>
    <t>RUM MONTILA CARTA BRANCA GF</t>
  </si>
  <si>
    <t>DOSE RUM MONTILA CARTA BRANCA</t>
  </si>
  <si>
    <t>PICANHA IMPORTADA TRINCHADA</t>
  </si>
  <si>
    <t>BIS XTRA ORIGINAL</t>
  </si>
  <si>
    <t>CO EXEC MOLHO BRANCO</t>
  </si>
  <si>
    <t>CO EXEC MOLHO VERMELHO</t>
  </si>
  <si>
    <t>CO MEIO MOLHO BRANCO</t>
  </si>
  <si>
    <t>CO MEIO MOLHO VERMELHO</t>
  </si>
  <si>
    <t>BALA MENTOS TUTTI FRUTTI</t>
  </si>
  <si>
    <t>ponta de agulha bovina</t>
  </si>
  <si>
    <t>agua para consumo</t>
  </si>
  <si>
    <t>AGUA PARA CONSUMO</t>
  </si>
  <si>
    <t>GRAPETTE UVA VERDE 250ML</t>
  </si>
  <si>
    <t>GRAPETTE UVA 250ML</t>
  </si>
  <si>
    <t>DELRIO ABACAXI 250ML</t>
  </si>
  <si>
    <t>pilombeta mp</t>
  </si>
  <si>
    <t>NUGGET DE CAMARAO</t>
  </si>
  <si>
    <t>DEL VALLE FRUT UVA 450ML</t>
  </si>
  <si>
    <t>SUCOS INDUSTRIALIZADOS</t>
  </si>
  <si>
    <t>DEL VALLE FRUT LARANJA 450ML</t>
  </si>
  <si>
    <t>COCA-COLA 2,5L</t>
  </si>
  <si>
    <t>SKOL LATA 350ML</t>
  </si>
  <si>
    <t>H2OH LIMAO 500 ML</t>
  </si>
  <si>
    <t>lanche de frango mp</t>
  </si>
  <si>
    <t>SORV PARDAL CREME 5000ML</t>
  </si>
  <si>
    <t>EISENBAHN LN 355ML</t>
  </si>
  <si>
    <t>SOL PREMIUM LN 330ML</t>
  </si>
  <si>
    <t>COCA-COLA KS ZERO 290ML</t>
  </si>
  <si>
    <t>DEL VALLE FRUT CIT 450ML</t>
  </si>
  <si>
    <t>SORV QUICK ACAI GRANOLA</t>
  </si>
  <si>
    <t>PICOLE QUICK ACAI</t>
  </si>
  <si>
    <t>cebolinha mp</t>
  </si>
  <si>
    <t>TRIDENT CEREJA</t>
  </si>
  <si>
    <t>ENERG MONSTER ZERO LATA 473ML</t>
  </si>
  <si>
    <t>gin gordon mp</t>
  </si>
  <si>
    <t>MEIA HOSPEDAGEM INDIVIDUAL T</t>
  </si>
  <si>
    <t>MEIA HOSPEDAGEM INDIVIDUAL 1A</t>
  </si>
  <si>
    <t>HOSPEDAGEM DUPLA TERREO</t>
  </si>
  <si>
    <t>HOSPEDAGEM DUPLA 1A</t>
  </si>
  <si>
    <t>MEIA HOSPEDAGEM ADIC CRIANCAS</t>
  </si>
  <si>
    <t>MEIA HOSPEDAGEM ADIC ADOL ADUL</t>
  </si>
  <si>
    <t>MEIA HOSPEDAGEM E CAFE DA MANH</t>
  </si>
  <si>
    <t>MEIA HOSPEDAGEM</t>
  </si>
  <si>
    <t>ALUGUEL PARA EVENTOS</t>
  </si>
  <si>
    <t>EVENTOS</t>
  </si>
  <si>
    <t>ADICIONAL ALUGUEL PARA EVENTOS</t>
  </si>
  <si>
    <t>PICOLE QUICK FRUT GROSELHA</t>
  </si>
  <si>
    <t>PICOLE QUICK FRUT LIMAO</t>
  </si>
  <si>
    <t>COUVERT ARTISTICO</t>
  </si>
  <si>
    <t>MEIA HOSPEDAGEM DUPLA TERREO</t>
  </si>
  <si>
    <t>MEIA HOSPEDAGEM DUPLA 1A</t>
  </si>
  <si>
    <t>SKOL 300ML</t>
  </si>
  <si>
    <t>BIS XTRA AO LEITE</t>
  </si>
  <si>
    <t>BIS XTRA OREO</t>
  </si>
  <si>
    <t>BIS OREO</t>
  </si>
  <si>
    <t>BIS LEITE</t>
  </si>
  <si>
    <t>BIS LAKA</t>
  </si>
  <si>
    <t>BUBBALOO REC LIQ HORTELA</t>
  </si>
  <si>
    <t>MENTOS PURE FRUIT</t>
  </si>
  <si>
    <t>BOMBOM SERENATA</t>
  </si>
  <si>
    <t>RONDELLI DE FRANGO</t>
  </si>
  <si>
    <t>EXEC RONDELLI DE FRANGO</t>
  </si>
  <si>
    <t>ENERG MONSTER MANGO LATA 269ML</t>
  </si>
  <si>
    <t>tripa bovina mp</t>
  </si>
  <si>
    <t>bucho bovino mp</t>
  </si>
  <si>
    <t>alcatra mp</t>
  </si>
  <si>
    <t>PICOLE QUICK EXC PISTACHE</t>
  </si>
  <si>
    <t>SORV NINHO GANACHE CHOCOLATE</t>
  </si>
  <si>
    <t>SORV NINHO MORANGO</t>
  </si>
  <si>
    <t>SORV NINHO ABACAXI</t>
  </si>
  <si>
    <t xml:space="preserve"> cachaca pitu mp</t>
  </si>
  <si>
    <t>LANCHE</t>
  </si>
  <si>
    <t>milho em grao mp</t>
  </si>
  <si>
    <t>copo americano</t>
  </si>
  <si>
    <t>COPOS E TACAS</t>
  </si>
  <si>
    <t>SPRITE ABSOLUT SLEEK 269ML</t>
  </si>
  <si>
    <t>GUARANA ANTARCTICA ZERO 2L</t>
  </si>
  <si>
    <t>PICOLE PARDAL VITA WHEY CHOC</t>
  </si>
  <si>
    <t>PICOLE PARDAL VITA WHEY AMENDO</t>
  </si>
  <si>
    <t>VINHO AURORA PETIT VERDOT GF</t>
  </si>
  <si>
    <t>VINHO CHI S HELENA GF</t>
  </si>
  <si>
    <t>VINHO CHI GATO NEGRO MERLOT GF</t>
  </si>
  <si>
    <t>VINHO PERGOLA SUAVE GF</t>
  </si>
  <si>
    <t>VINHO PORTUGUES PERIQUITA GF</t>
  </si>
  <si>
    <t>VINHO CHI CASILLLE D MERLOT GF</t>
  </si>
  <si>
    <t>VINHO CHI CASILLLE D CAR GF</t>
  </si>
  <si>
    <t>CAJUINA SAO GERALDO 350ML</t>
  </si>
  <si>
    <t>BUBBALOO BALA AZED MORANGO</t>
  </si>
  <si>
    <t>EISENBAHN LATA 350ML</t>
  </si>
  <si>
    <t>CAJUINA SAO GERALDO ZERO 350ML</t>
  </si>
  <si>
    <t>BALA MENTOS PURE MINT</t>
  </si>
  <si>
    <t>DELICIA DE CHOCOLATE NINHO</t>
  </si>
  <si>
    <t>DELICIA DE MORANGO</t>
  </si>
  <si>
    <t>molho barbecue</t>
  </si>
  <si>
    <t>DELICIA NINHO MORANGO CHOCOLAT</t>
  </si>
  <si>
    <t>carne industrial mp</t>
  </si>
  <si>
    <t>BOMBOM LACTA OREO</t>
  </si>
  <si>
    <t>COPO 51 OURO</t>
  </si>
  <si>
    <t>COPO 51 PRATA</t>
  </si>
  <si>
    <t>melancia mp</t>
  </si>
  <si>
    <t>SKOL BEATS RED MIX LN 269ML</t>
  </si>
  <si>
    <t>batata doce mp</t>
  </si>
  <si>
    <t>FANTA MISTERIO CHUCKY LT 350ML</t>
  </si>
  <si>
    <t>figado bovino mp</t>
  </si>
  <si>
    <t>sangria mp</t>
  </si>
  <si>
    <t>desengripante 300ml</t>
  </si>
  <si>
    <t>lampara led</t>
  </si>
  <si>
    <t>MATERIAIS DA POUSADA</t>
  </si>
  <si>
    <t>BALA MENTOS FRUTA 14P</t>
  </si>
  <si>
    <t>SORV PARDAL SUNDAE MORAN 180ML</t>
  </si>
  <si>
    <t>SORV PARDAL SUNDAE CHOC 180ML</t>
  </si>
  <si>
    <t>SODA LIMONADA LT 350ML</t>
  </si>
  <si>
    <t>SPATEN LN 355ML</t>
  </si>
  <si>
    <t>CORONA ZERO LN 300ML</t>
  </si>
  <si>
    <t>Descrição</t>
  </si>
  <si>
    <t>Código</t>
  </si>
  <si>
    <t>Grupo</t>
  </si>
  <si>
    <t>Código+Produto</t>
  </si>
  <si>
    <t xml:space="preserve"> Grupo </t>
  </si>
  <si>
    <t>Quantidade</t>
  </si>
  <si>
    <t>Valor Unitário</t>
  </si>
  <si>
    <t>Valor Total</t>
  </si>
  <si>
    <t>Total</t>
  </si>
  <si>
    <t>Relatório BackOffice - Central &gt; Movimentação &gt; Transferências &gt; Transferências externas por loja
Selecionar a loja e exportar como Xlsx Dados Arquivo</t>
  </si>
  <si>
    <t>434-picanha importada mp</t>
  </si>
  <si>
    <t>442-linguica suina mp</t>
  </si>
  <si>
    <t>463-batata inglesa mp</t>
  </si>
  <si>
    <t>476-acucar mp</t>
  </si>
  <si>
    <t>554-prep molho vermelho</t>
  </si>
  <si>
    <t>53-HEINEKEN 600ML</t>
  </si>
  <si>
    <t>499-sal refinado mp</t>
  </si>
  <si>
    <t>600-papel toalha</t>
  </si>
  <si>
    <t>PC2</t>
  </si>
  <si>
    <t>687-mistura de requeijao mp</t>
  </si>
  <si>
    <t>599-papel higienico</t>
  </si>
  <si>
    <t>PC</t>
  </si>
  <si>
    <t>469-margarina mp</t>
  </si>
  <si>
    <t>555-prep oleo de porco</t>
  </si>
  <si>
    <t>588-agua sanitaria</t>
  </si>
  <si>
    <t>449-ovo mp</t>
  </si>
  <si>
    <t>BJ30</t>
  </si>
  <si>
    <t>1041-STELLA ARTOIS PURE G LN 330ML</t>
  </si>
  <si>
    <t>477-arroz branco mp</t>
  </si>
  <si>
    <t>594-esponja de lavar louca</t>
  </si>
  <si>
    <t>54-HEINEKEN LN 330ML</t>
  </si>
  <si>
    <t>STELLA ARTOIS PURE G LN 330ML</t>
  </si>
  <si>
    <t>473-salmao mp</t>
  </si>
  <si>
    <t>296-PUDIM DE LEITE CONDENSADO</t>
  </si>
  <si>
    <t>515-azeite de oliva mp</t>
  </si>
  <si>
    <t>539-prep cordao file mignon moido</t>
  </si>
  <si>
    <t>632-cachaca velho barreiro mp</t>
  </si>
  <si>
    <t>699-coco verde mp</t>
  </si>
  <si>
    <t>21-CAJUINA SAO GERALDO 1L</t>
  </si>
  <si>
    <t>438-cogumelo champignon mp</t>
  </si>
  <si>
    <t>318-QUENTINHA DE ISOPOR</t>
  </si>
  <si>
    <t>SC100</t>
  </si>
  <si>
    <t>293-MOUSSE DE MARACUJA</t>
  </si>
  <si>
    <t>431-cordao do file mignon mp</t>
  </si>
  <si>
    <t>1073-azeitona mp</t>
  </si>
  <si>
    <t>AZEITONA</t>
  </si>
  <si>
    <t>831-PETIT GATEAU COM SORVETE</t>
  </si>
  <si>
    <t>666-whisky old parr mp</t>
  </si>
  <si>
    <t>1090-capa de contra file mp</t>
  </si>
  <si>
    <t>629-aperitivo campari mp</t>
  </si>
  <si>
    <t>998ML</t>
  </si>
  <si>
    <t>658-vodka smirnoff mp</t>
  </si>
  <si>
    <t>661-whisky black white mp</t>
  </si>
  <si>
    <t>capa de contra file mp</t>
  </si>
  <si>
    <t>CX14</t>
  </si>
  <si>
    <t>667-whisky red label mp</t>
  </si>
  <si>
    <t>250ML</t>
  </si>
  <si>
    <t>635-cachaca ypioca ouro mp</t>
  </si>
  <si>
    <t>965ML</t>
  </si>
  <si>
    <t>657-vodka slova mp</t>
  </si>
  <si>
    <t>546-prep fraldinha moida</t>
  </si>
  <si>
    <t>468-leite condensado mp</t>
  </si>
  <si>
    <t>395G</t>
  </si>
  <si>
    <t>28-COCA-COLA KS 290ML</t>
  </si>
  <si>
    <t>491-leite de coco mp</t>
  </si>
  <si>
    <t>200ML</t>
  </si>
  <si>
    <t>Transferências - Mucambo (Maio/2026)</t>
  </si>
  <si>
    <t>634-cachaca ypioca empalhada mp</t>
  </si>
  <si>
    <t>532-prep batata palha frita</t>
  </si>
  <si>
    <t>736-vinho pergola mp</t>
  </si>
  <si>
    <t>445-coxa e sobrecoxa mp</t>
  </si>
  <si>
    <t>Transferências - Frecheirinha (Maio/2026)</t>
  </si>
  <si>
    <t>1099-peixe pargo mp</t>
  </si>
  <si>
    <t>631-cachaca 51 prata mp</t>
  </si>
  <si>
    <t>669-whisky white horse mp</t>
  </si>
  <si>
    <t>970ML</t>
  </si>
  <si>
    <t>518-molho de pimenta tabasco mp</t>
  </si>
  <si>
    <t>60ML</t>
  </si>
  <si>
    <t>733-vinho o gaucho suave mp</t>
  </si>
  <si>
    <t>1097-lula mp</t>
  </si>
  <si>
    <t>494-molho de tomate mp</t>
  </si>
  <si>
    <t>#N/D</t>
  </si>
  <si>
    <t>Transferências - Tianguá (Maio/2026)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</si>
</sst>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4" fontId="0" fillId="3" borderId="0" xfId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44" fontId="3" fillId="2" borderId="4" xfId="1" applyFont="1" applyFill="1" applyBorder="1" applyAlignment="1">
      <alignment horizontal="center" vertical="center" wrapText="1"/>
    </xf>
    <xf numFmtId="44" fontId="3" fillId="2" borderId="5" xfId="1" applyFont="1" applyFill="1" applyBorder="1" applyAlignment="1">
      <alignment horizontal="center" vertical="center" wrapText="1"/>
    </xf>
    <xf numFmtId="44" fontId="3" fillId="2" borderId="6" xfId="1" applyFont="1" applyFill="1" applyBorder="1" applyAlignment="1">
      <alignment horizontal="center" vertical="center" wrapText="1"/>
    </xf>
    <xf numFmtId="44" fontId="3" fillId="2" borderId="8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44" fontId="0" fillId="3" borderId="0" xfId="1" applyNumberFormat="1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1444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color theme="0"/>
      </font>
      <fill>
        <patternFill>
          <bgColor rgb="FF00B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color theme="0"/>
      </font>
      <fill>
        <patternFill>
          <bgColor rgb="FF00B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ela Padrão" defaultPivotStyle="Tabela Dinâmica Padrão">
    <tableStyle name="Tabela Dinâmica Padrão" table="0" count="2" xr9:uid="{C0D499F5-07B5-4AB2-A448-7A60C0AE529D}">
      <tableStyleElement type="wholeTable" dxfId="1443"/>
      <tableStyleElement type="headerRow" dxfId="1442"/>
    </tableStyle>
    <tableStyle name="Tabela Padrão" pivot="0" count="2" xr9:uid="{DFA1F6D9-0FDD-4A97-93EA-39ABE22EA72F}">
      <tableStyleElement type="wholeTable" dxfId="1441"/>
      <tableStyleElement type="headerRow" dxfId="144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or Rodrigues" refreshedDate="46179.66901203704" createdVersion="8" refreshedVersion="8" minRefreshableVersion="3" recordCount="347" xr:uid="{40E07272-1A42-4012-949F-C3F3505AE6A4}">
  <cacheSource type="worksheet">
    <worksheetSource name="TabelaFrecheirinha"/>
  </cacheSource>
  <cacheFields count="7">
    <cacheField name="Código+Produto" numFmtId="0">
      <sharedItems/>
    </cacheField>
    <cacheField name="UN" numFmtId="0">
      <sharedItems count="21">
        <s v="KG"/>
        <s v="UN"/>
        <s v="LT"/>
        <s v="CX14"/>
        <s v="400G"/>
        <s v="500ML"/>
        <s v="250G"/>
        <s v="900ML"/>
        <s v="998ML"/>
        <s v="965ML"/>
        <s v="GF700" u="1"/>
        <s v="C2000" u="1"/>
        <s v="60ML" u="1"/>
        <s v="CX100" u="1"/>
        <s v="BJ30" u="1"/>
        <s v="CX24" u="1"/>
        <s v="970ML" u="1"/>
        <s v="395G" u="1"/>
        <s v="1,1KG" u="1"/>
        <s v="FD48" u="1"/>
        <s v="PC100" u="1"/>
      </sharedItems>
    </cacheField>
    <cacheField name="Qtde" numFmtId="2">
      <sharedItems containsSemiMixedTypes="0" containsString="0" containsNumber="1" minValue="0.9" maxValue="96"/>
    </cacheField>
    <cacheField name="Vl. Unitário" numFmtId="44">
      <sharedItems containsSemiMixedTypes="0" containsString="0" containsNumber="1" minValue="0.67" maxValue="132.5"/>
    </cacheField>
    <cacheField name="Vl. Total" numFmtId="44">
      <sharedItems containsSemiMixedTypes="0" containsString="0" containsNumber="1" minValue="0.67500000000000004" maxValue="2487.62"/>
    </cacheField>
    <cacheField name="Produto" numFmtId="44">
      <sharedItems count="112">
        <s v="capa de contra file mp"/>
        <s v="PUDIM DE LEITE CONDENSADO"/>
        <s v="carne de sol mp"/>
        <s v="contra file mp"/>
        <s v="cordao do file mignon mp"/>
        <s v="file mignon mp"/>
        <s v="picanha importada mp"/>
        <s v="batata pre frita mp"/>
        <s v="lanche apresuntado mp"/>
        <s v="linguica calabresa mp"/>
        <s v="linguica suina mp"/>
        <s v="coxa e sobrecoxa mp"/>
        <s v="file de peito de frango mp"/>
        <s v="frango inteiro mp"/>
        <s v="coentro mp"/>
        <s v="pimentao mp"/>
        <s v="tomate mp"/>
        <s v="laranja mp"/>
        <s v="limao mp"/>
        <s v="morango mp"/>
        <s v="abacaxi mp"/>
        <s v="aipim mp"/>
        <s v="alface mp"/>
        <s v="alho mp"/>
        <s v="batata inglesa mp"/>
        <s v="brocolis mp"/>
        <s v="cebola branca mp"/>
        <s v="cenoura mp"/>
        <s v="leite mp"/>
        <s v="margarina mp"/>
        <s v="queijo coalho mp"/>
        <s v="queijo mussarela mp"/>
        <s v="camarao mp"/>
        <s v="arroz parboilizado mp"/>
        <s v="creme culinario mp"/>
        <s v="farinha de rosca mp"/>
        <s v="farinha de trigo mp"/>
        <s v="feijao branco mp"/>
        <s v="ketchup mp"/>
        <s v="macarrao espaguete mp"/>
        <s v="maionese mp"/>
        <s v="sal refinado mp"/>
        <s v="vinagre mp"/>
        <s v="bacon mp"/>
        <s v="carne suina mp"/>
        <s v="costela suina mp"/>
        <s v="amaciante de carne mp"/>
        <s v="cafe em po mp"/>
        <s v="oleo de soja"/>
        <s v="prep polpa maracuja com sement"/>
        <s v="prep batata palha frita"/>
        <s v="HEINEKEN 600ML"/>
        <s v="prep fraldinha moida"/>
        <s v="prep massa fettuccine"/>
        <s v="HEINEKEN LN 330ML"/>
        <s v="prep molho madeira"/>
        <s v="prep oleo de porco"/>
        <s v="tilapia limpa mp"/>
        <s v="agua sanitaria"/>
        <s v="detergente liquido"/>
        <s v="prep aipim limpo e cozido"/>
        <s v="prep brocolis limpo e cozido"/>
        <s v="aperitivo campari mp"/>
        <s v="cachaca ypioca empalhada mp"/>
        <s v="cachaca ypioca ouro mp"/>
        <s v="vodka smirnoff mp"/>
        <s v="whisky black white mp"/>
        <s v="whisky old parr mp"/>
        <s v="whisky red label mp"/>
        <s v="prep farofa"/>
        <s v="vinho pergola mp"/>
        <s v="costela bovina mp"/>
        <s v="DELICIA DE ABACAXI" u="1"/>
        <s v="DELICIA DE LIMAO" u="1"/>
        <s v="MOUSSE DE MARACUJA" u="1"/>
        <s v="salmao mp" u="1"/>
        <s v="arroz branco mp" u="1"/>
        <s v="feijao preto mp" u="1"/>
        <s v="sal grosso mp" u="1"/>
        <s v="acafrao em po mp" u="1"/>
        <s v="cachaca ypioca 150 mp" u="1"/>
        <s v="BROWNIE NINHO" u="1"/>
        <s v="BROWNIE CHOCOLATE" u="1"/>
        <s v="BOLO DE POTE NINHO" u="1"/>
        <s v="BOLO DE POTE CHOCOLATE" u="1"/>
        <s v="vinho quinta do morg seco mp" u="1"/>
        <s v="vinho quinta do morg suave mp" u="1"/>
        <s v="PETIT GATEAU COM SORVETE" u="1"/>
        <s v="SORV PARDAL CREME 5000ML" u="1"/>
        <s v="ovo mp" u="1"/>
        <s v="maracuja mp" u="1"/>
        <s v="azeite de oliva mp" u="1"/>
        <s v="whisky white horse mp" u="1"/>
        <s v="mistura de requeijao mp" u="1"/>
        <e v="#N/A" u="1"/>
        <s v="cogumelo champignon mp" u="1"/>
        <s v="molho de pimenta tabasco mp" u="1"/>
        <s v="prep molho vermelho" u="1"/>
        <s v="guarda chuva coquetel" u="1"/>
        <s v="alcool liquido" u="1"/>
        <s v="tilapia mp" u="1"/>
        <s v="palito dental" u="1"/>
        <s v="prep massa rondelli" u="1"/>
        <s v="HEINEKEN LN ZERO 330ML" u="1"/>
        <s v="cachaca 51 prata mp" u="1"/>
        <s v="vodka slova mp" u="1"/>
        <s v="leite condensado mp" u="1"/>
        <s v="cobertura de morango mp" u="1"/>
        <s v="guardanapo" u="1"/>
        <s v="canudo plastico" u="1"/>
        <s v="desinfetante liquido" u="1"/>
        <s v="porcao de fraldinha moida" u="1"/>
      </sharedItems>
    </cacheField>
    <cacheField name="Grupo" numFmtId="0">
      <sharedItems count="36">
        <s v="CARNES BOVINAS"/>
        <s v="PUDINS"/>
        <s v="CONGELADOS"/>
        <s v="EMBUTIDOS"/>
        <s v="FRANGOS E DERIVADOS"/>
        <s v="HORTIFRUTI"/>
        <s v="LATICINIOS"/>
        <s v="PEIXES E FRUTOS DO MAR"/>
        <s v="SECOS E MERCEARIA"/>
        <s v="SUINOS E DERIVADOS"/>
        <s v="TEMPEROS E CORANTES"/>
        <s v="CAFES"/>
        <s v="OLEO DE SOJA"/>
        <s v="PRE PREPARO BAR"/>
        <s v="PRE PREPARO COZINHA"/>
        <s v="CERVEJAS"/>
        <s v="MATERIAIS DE LIMPEZA"/>
        <s v="APERITIVAS"/>
        <s v="CACHACAS"/>
        <s v="VODKAS"/>
        <s v="WHISKIES"/>
        <s v="VINHOS"/>
        <s v="DELICIAS" u="1"/>
        <s v="MOUSSES" u="1"/>
        <s v="BROWNIES" u="1"/>
        <s v="BOLOS E TORTAS" u="1"/>
        <s v="SORVETES" u="1"/>
        <s v="AZEITES" u="1"/>
        <e v="#N/A" u="1"/>
        <s v="CONSERVAS" u="1"/>
        <s v="MOLHOS" u="1"/>
        <s v="DESCARTAVEIS" u="1"/>
        <s v="PALITO DENTAL" u="1"/>
        <s v="CERVEJAS ZERO ALCOOL" u="1"/>
        <s v="XAROPES E COBERTURAS" u="1"/>
        <s v="GUARDANAPOS E PAPEL TOALH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or Rodrigues" refreshedDate="46179.669012962964" createdVersion="8" refreshedVersion="8" minRefreshableVersion="3" recordCount="427" xr:uid="{45C9F23F-653A-4066-88E7-1396F7BB932C}">
  <cacheSource type="worksheet">
    <worksheetSource name="TabelaMucambo"/>
  </cacheSource>
  <cacheFields count="7">
    <cacheField name="Código+Produto" numFmtId="0">
      <sharedItems/>
    </cacheField>
    <cacheField name="UN" numFmtId="0">
      <sharedItems count="35">
        <s v="UN"/>
        <s v="SC100"/>
        <s v="KG"/>
        <s v="BJ30"/>
        <s v="LT"/>
        <s v="395G"/>
        <s v="200ML"/>
        <s v="400G"/>
        <s v="500ML"/>
        <s v="250G"/>
        <s v="900ML"/>
        <s v="PC"/>
        <s v="PC2"/>
        <s v="965ML"/>
        <s v="3,5KG" u="1"/>
        <s v="CX14" u="1"/>
        <s v="SC" u="1"/>
        <s v="GF700" u="1"/>
        <s v="CX24" u="1"/>
        <s v="C2000" u="1"/>
        <s v="800G" u="1"/>
        <s v="BD3" u="1"/>
        <s v="FD100" u="1"/>
        <s v="998ML" u="1"/>
        <s v="910ML" u="1"/>
        <s v="980ML" u="1"/>
        <s v="FD6" u="1"/>
        <s v="FD12" u="1"/>
        <s v="FD48" u="1"/>
        <s v="970ML" u="1"/>
        <s v="FD24" u="1"/>
        <s v="CX12" u="1"/>
        <s v="5KG" u="1"/>
        <s v="FD10" u="1"/>
        <s v="1,01K" u="1"/>
      </sharedItems>
    </cacheField>
    <cacheField name="Qtde" numFmtId="2">
      <sharedItems containsSemiMixedTypes="0" containsString="0" containsNumber="1" minValue="0.6" maxValue="180"/>
    </cacheField>
    <cacheField name="Vl. Unitário" numFmtId="44">
      <sharedItems containsSemiMixedTypes="0" containsString="0" containsNumber="1" minValue="0.32" maxValue="96.048900000000003"/>
    </cacheField>
    <cacheField name="Vl. Total" numFmtId="44">
      <sharedItems containsSemiMixedTypes="0" containsString="0" containsNumber="1" minValue="0.32" maxValue="1844.27"/>
    </cacheField>
    <cacheField name="Produto" numFmtId="44">
      <sharedItems count="147">
        <s v="CAJUINA SAO GERALDO 1L"/>
        <s v="COCA-COLA KS 290ML"/>
        <s v="MOUSSE DE MARACUJA"/>
        <s v="PUDIM DE LEITE CONDENSADO"/>
        <s v="QUENTINHA DE ISOPOR"/>
        <s v="carne de sol mp"/>
        <s v="contra file mp"/>
        <s v="file mignon mp"/>
        <s v="picanha importada mp"/>
        <s v="batata pre frita mp"/>
        <s v="lanche apresuntado mp"/>
        <s v="linguica suina mp"/>
        <s v="file de peito de frango mp"/>
        <s v="frango inteiro mp"/>
        <s v="ovo mp"/>
        <s v="coentro mp"/>
        <s v="pimentao mp"/>
        <s v="tomate mp"/>
        <s v="laranja mp"/>
        <s v="limao mp"/>
        <s v="morango mp"/>
        <s v="abacaxi mp"/>
        <s v="aipim mp"/>
        <s v="alface mp"/>
        <s v="alho mp"/>
        <s v="batata inglesa mp"/>
        <s v="brocolis mp"/>
        <s v="cebola branca mp"/>
        <s v="cenoura mp"/>
        <s v="leite mp"/>
        <s v="leite condensado mp"/>
        <s v="margarina mp"/>
        <s v="queijo coalho mp"/>
        <s v="queijo mussarela mp"/>
        <s v="camarao mp"/>
        <s v="acucar mp"/>
        <s v="arroz branco mp"/>
        <s v="arroz parboilizado mp"/>
        <s v="creme culinario mp"/>
        <s v="farinha de rosca mp"/>
        <s v="farinha de trigo mp"/>
        <s v="feijao branco mp"/>
        <s v="ketchup mp"/>
        <s v="leite de coco mp"/>
        <s v="macarrao espaguete mp"/>
        <s v="maionese mp"/>
        <s v="vinagre mp"/>
        <s v="bacon mp"/>
        <s v="carne suina mp"/>
        <s v="costela suina mp"/>
        <s v="amaciante de carne mp"/>
        <s v="cafe em po mp"/>
        <s v="oleo de soja"/>
        <s v="guardanapo"/>
        <s v="prep polpa maracuja com sement"/>
        <s v="prep cordao file mignon moido"/>
        <s v="HEINEKEN 600ML"/>
        <s v="prep fraldinha moida"/>
        <s v="prep massa fettuccine"/>
        <s v="HEINEKEN LN 330ML"/>
        <s v="prep massa rondelli"/>
        <s v="prep molho madeira"/>
        <s v="prep molho vermelho"/>
        <s v="prep oleo de porco"/>
        <s v="tilapia limpa mp"/>
        <s v="agua sanitaria"/>
        <s v="detergente liquido"/>
        <s v="esponja de lavar louca"/>
        <s v="papel higienico"/>
        <s v="papel toalha"/>
        <s v="prep aipim limpo e cozido"/>
        <s v="cachaca velho barreiro mp"/>
        <s v="cachaca ypioca ouro mp"/>
        <s v="vodka slova mp"/>
        <s v="vodka smirnoff mp"/>
        <s v="mistura de requeijao mp"/>
        <s v="prep farofa"/>
        <s v="coco verde mp"/>
        <s v="PETIT GATEAU COM SORVETE"/>
        <s v="batata doce mp" u="1"/>
        <s v="cogumelo champignon mp" u="1"/>
        <s v="linguica calabresa mp" u="1"/>
        <s v="maracuja mp" u="1"/>
        <s v="salmao mp" u="1"/>
        <s v="feijao preto mp" u="1"/>
        <s v="sal refinado mp" u="1"/>
        <s v="azeite de oliva mp" u="1"/>
        <s v="carvao" u="1"/>
        <s v="cloro" u="1"/>
        <s v="desinfetante liquido" u="1"/>
        <s v="sabao em po" u="1"/>
        <s v="prep brocolis limpo e cozido" u="1"/>
        <s v="cachaca ypioca 150 mp" u="1"/>
        <s v="whisky old parr mp" u="1"/>
        <s v="whisky red label mp" u="1"/>
        <s v="COCA-COLA 1L" u="1"/>
        <s v="bicarbonato" u="1"/>
        <s v="SORV PARDAL CREME 5000ML" u="1"/>
        <s v="STELLA ARTOIS PURE G LN 330ML" u="1"/>
        <s v="STELLA ARTOIS 600ML" u="1"/>
        <s v="AGUA SEM GAS 500ML" u="1"/>
        <s v="CAJUINA SAO GERALDO 600ML" u="1"/>
        <s v="GUARANA ANTARCTICA 2L" u="1"/>
        <s v="GUARANA ANTARCTICA 1L" u="1"/>
        <s v="AGUA COM GAS 500ML" u="1"/>
        <s v="alcaparra mp" u="1"/>
        <s v="presunto de peru mp" u="1"/>
        <s v="ANTARCTICA ORIGINAL 600ML" u="1"/>
        <s v="sal grosso mp" u="1"/>
        <s v="BRAHMA DUPLO MALTE 600ML" u="1"/>
        <s v="coloral mp" u="1"/>
        <s v="BUDWEISER 600ML" u="1"/>
        <s v="palito dental" u="1"/>
        <s v="alcool liquido" u="1"/>
        <s v="SPATEN 600ML" u="1"/>
        <s v="cachaca ypioca prata mp" u="1"/>
        <s v="GUARANA ANTARCTICA ZERO 1L" u="1"/>
        <s v="GUARANA ANTARCTICA ZERO 2L" u="1"/>
        <s v="SPATEN LN 355ML" u="1"/>
        <s v="AGUA SEM GAS 1,5L" u="1"/>
        <s v="BRAHMA CHOPP 600ML" u="1"/>
        <s v="quentinha de isopor m50" u="1"/>
        <s v="sulfato" u="1"/>
        <s v="alcool em gel" u="1"/>
        <s v="SKOL 600ML" u="1"/>
        <s v="aperitivo campari mp" u="1"/>
        <s v="whisky black white mp" u="1"/>
        <s v="ENERG RED BULL LATA 250ML" u="1"/>
        <s v="CORONA LN 330ML" u="1"/>
        <e v="#N/A" u="1"/>
        <s v="COCA-COLA 2L" u="1"/>
        <s v="carne suina funcionarios mp" u="1"/>
        <s v="prep batata palha frita" u="1"/>
        <s v="whisky jack daniels mp" u="1"/>
        <s v="BUDWEISER LN 330ML" u="1"/>
        <s v="SPATEN LN 330ML" u="1"/>
        <s v="COCA-COLA LS 1L" u="1"/>
        <s v="COCA-COLA 600ML" u="1"/>
        <s v="COCA-COLA LATA 350ML" u="1"/>
        <s v="COCA-COLA ZERO LATA 350ML" u="1"/>
        <s v="SCHWEPPES CITRUS LATA 350ML" u="1"/>
        <s v="H2O" u="1"/>
        <s v="AGUA TONICA ANTARCTICA 350ML" u="1"/>
        <s v="COCA-COLA ZERO 2L" u="1"/>
        <s v="SPRITE FRESH" u="1"/>
        <s v="STELLA ARTOIS LN 330ML" u="1"/>
        <s v="H2OH LIMAO 500 ML" u="1"/>
      </sharedItems>
    </cacheField>
    <cacheField name="Grupo" numFmtId="0">
      <sharedItems count="35">
        <s v="REFRIGERANTES"/>
        <s v="MOUSSES"/>
        <s v="PUDINS"/>
        <s v="EMBALAGENS"/>
        <s v="CARNES BOVINAS"/>
        <s v="CONGELADOS"/>
        <s v="EMBUTIDOS"/>
        <s v="FRANGOS E DERIVADOS"/>
        <s v="HORTIFRUTI"/>
        <s v="LATICINIOS"/>
        <s v="PEIXES E FRUTOS DO MAR"/>
        <s v="SECOS E MERCEARIA"/>
        <s v="SUINOS E DERIVADOS"/>
        <s v="TEMPEROS E CORANTES"/>
        <s v="CAFES"/>
        <s v="OLEO DE SOJA"/>
        <s v="GUARDANAPOS E PAPEL TOALHA"/>
        <s v="PRE PREPARO BAR"/>
        <s v="PRE PREPARO COZINHA"/>
        <s v="CERVEJAS"/>
        <s v="MATERIAIS DE LIMPEZA"/>
        <s v="CACHACAS"/>
        <s v="VODKAS"/>
        <s v="BOLOS E TORTAS"/>
        <s v="CONSERVAS" u="1"/>
        <s v="AZEITES" u="1"/>
        <s v="CARVAO" u="1"/>
        <s v="MATERIAIS DA PISCINA" u="1"/>
        <s v="WHISKIES" u="1"/>
        <s v="SORVETES" u="1"/>
        <s v="AGUAS" u="1"/>
        <s v="PALITO DENTAL" u="1"/>
        <s v="APERITIVAS" u="1"/>
        <s v="ENERGETICOS" u="1"/>
        <e v="#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or Rodrigues" refreshedDate="46179.669013657411" createdVersion="8" refreshedVersion="8" minRefreshableVersion="3" recordCount="348" xr:uid="{9F2122D8-A6A7-4057-8CF7-D0B34E8966C2}">
  <cacheSource type="worksheet">
    <worksheetSource name="TabelaTianguá"/>
  </cacheSource>
  <cacheFields count="7">
    <cacheField name="Código+Produto" numFmtId="0">
      <sharedItems/>
    </cacheField>
    <cacheField name="UN" numFmtId="0">
      <sharedItems count="25">
        <s v="KG"/>
        <s v="UN"/>
        <s v="LT"/>
        <s v="400G"/>
        <s v="500ML"/>
        <s v="250ML"/>
        <s v="250G"/>
        <s v="60ML"/>
        <s v="900ML"/>
        <s v="970ML"/>
        <s v="CX14" u="1"/>
        <s v="SC" u="1"/>
        <s v="PC2" u="1"/>
        <s v="395G" u="1"/>
        <s v="CX24" u="1"/>
        <s v="SC100" u="1"/>
        <s v="BJ30" u="1"/>
        <s v="200ML" u="1"/>
        <s v="C2000" u="1"/>
        <s v="PC" u="1"/>
        <s v="800G" u="1"/>
        <s v="500G" u="1"/>
        <s v="2,8KG" u="1"/>
        <s v="5KG" u="1"/>
        <s v="965ML" u="1"/>
      </sharedItems>
    </cacheField>
    <cacheField name="Qtde" numFmtId="2">
      <sharedItems containsSemiMixedTypes="0" containsString="0" containsNumber="1" minValue="0.6" maxValue="30"/>
    </cacheField>
    <cacheField name="Vl. Unitário" numFmtId="44">
      <sharedItems containsSemiMixedTypes="0" containsString="0" containsNumber="1" minValue="0.7" maxValue="96.048900000000003"/>
    </cacheField>
    <cacheField name="Vl. Total" numFmtId="44">
      <sharedItems containsSemiMixedTypes="0" containsString="0" containsNumber="1" minValue="0.44999999999999996" maxValue="1037.3"/>
    </cacheField>
    <cacheField name="Produto" numFmtId="44">
      <sharedItems count="130">
        <e v="#N/A"/>
        <s v="PUDIM DE LEITE CONDENSADO"/>
        <s v="carne de sol mp"/>
        <s v="contra file mp"/>
        <s v="file mignon mp"/>
        <s v="picanha importada mp"/>
        <s v="batata pre frita mp"/>
        <s v="cogumelo champignon mp"/>
        <s v="lanche apresuntado mp"/>
        <s v="linguica calabresa mp"/>
        <s v="linguica suina mp"/>
        <s v="coxa e sobrecoxa mp"/>
        <s v="file de peito de frango mp"/>
        <s v="frango inteiro mp"/>
        <s v="coentro mp"/>
        <s v="pimentao mp"/>
        <s v="tomate mp"/>
        <s v="limao mp"/>
        <s v="abacaxi mp"/>
        <s v="aipim mp"/>
        <s v="alface mp"/>
        <s v="alho mp"/>
        <s v="batata inglesa mp"/>
        <s v="brocolis mp"/>
        <s v="cebola branca mp"/>
        <s v="cenoura mp"/>
        <s v="leite mp"/>
        <s v="margarina mp"/>
        <s v="queijo coalho mp"/>
        <s v="queijo mussarela mp"/>
        <s v="salmao mp"/>
        <s v="camarao mp"/>
        <s v="acucar mp"/>
        <s v="arroz branco mp"/>
        <s v="arroz parboilizado mp"/>
        <s v="creme culinario mp"/>
        <s v="farinha de rosca mp"/>
        <s v="feijao branco mp"/>
        <s v="ketchup mp"/>
        <s v="macarrao espaguete mp"/>
        <s v="maionese mp"/>
        <s v="molho de tomate mp"/>
        <s v="vinagre mp"/>
        <s v="bacon mp"/>
        <s v="carne suina mp"/>
        <s v="costela suina mp"/>
        <s v="azeite de oliva mp"/>
        <s v="cafe em po mp"/>
        <s v="molho de pimenta tabasco mp"/>
        <s v="oleo de soja"/>
        <s v="prep polpa maracuja com sement"/>
        <s v="prep cordao file mignon moido"/>
        <s v="prep massa fettuccine"/>
        <s v="prep massa rondelli"/>
        <s v="prep molho madeira"/>
        <s v="prep molho vermelho"/>
        <s v="prep oleo de porco"/>
        <s v="tilapia limpa mp"/>
        <s v="agua sanitaria"/>
        <s v="detergente liquido"/>
        <s v="esponja de lavar louca"/>
        <s v="prep aipim limpo e cozido"/>
        <s v="prep brocolis limpo e cozido"/>
        <s v="cachaca 51 prata mp"/>
        <s v="cachaca ypioca ouro mp"/>
        <s v="vodka slova mp"/>
        <s v="vodka smirnoff mp"/>
        <s v="whisky black white mp"/>
        <s v="whisky red label mp"/>
        <s v="whisky white horse mp"/>
        <s v="prep farofa"/>
        <s v="vinho o gaucho suave mp"/>
        <s v="farinha de trigo mp" u="1"/>
        <s v="sal refinado mp" u="1"/>
        <s v="amaciante de carne mp" u="1"/>
        <s v="carvao" u="1"/>
        <s v="prep file de tilapia" u="1"/>
        <s v="papel toalha" u="1"/>
        <s v="cachaca 51 ouro mp" u="1"/>
        <s v="whisky old parr mp" u="1"/>
        <s v="mistura de requeijao mp" u="1"/>
        <s v="coco verde mp" u="1"/>
        <s v="AZEITONA" u="1"/>
        <s v="DORITOS NACHO" u="1"/>
        <s v="cordao do file mignon mp" u="1"/>
        <s v="leite condensado mp" u="1"/>
        <s v="feijao preto mp" u="1"/>
        <s v="cachaca ypioca 150 mp" u="1"/>
        <s v="STELLA ARTOIS PURE G LN 330ML" u="1"/>
        <s v="STELLA ARTOIS 600ML" u="1"/>
        <s v="AGUA SEM GAS 500ML" u="1"/>
        <s v="CAJUINA SAO GERALDO 1L" u="1"/>
        <s v="CAJUINA SAO GERALDO 600ML" u="1"/>
        <s v="MOUSSE DE MARACUJA" u="1"/>
        <s v="QUENTINHA DE ISOPOR" u="1"/>
        <s v="GUARANA ANTARCTICA 2L" u="1"/>
        <s v="GUARANA ANTARCTICA 1L" u="1"/>
        <s v="AGUA COM GAS 500ML" u="1"/>
        <s v="alcaparra mp" u="1"/>
        <s v="presunto de peru mp" u="1"/>
        <s v="ovo mp" u="1"/>
        <s v="laranja mp" u="1"/>
        <s v="maracuja mp" u="1"/>
        <s v="morango mp" u="1"/>
        <s v="ANTARCTICA ORIGINAL 600ML" u="1"/>
        <s v="leite de coco mp" u="1"/>
        <s v="sal grosso mp" u="1"/>
        <s v="BRAHMA DUPLO MALTE 600ML" u="1"/>
        <s v="coloral mp" u="1"/>
        <s v="BUDWEISER 600ML" u="1"/>
        <s v="palito dental" u="1"/>
        <s v="guardanapo" u="1"/>
        <s v="HEINEKEN 600ML" u="1"/>
        <s v="prep fraldinha moida" u="1"/>
        <s v="HEINEKEN LN 330ML" u="1"/>
        <s v="alcool liquido" u="1"/>
        <s v="papel higienico" u="1"/>
        <s v="SPATEN 600ML" u="1"/>
        <s v="sabao em po" u="1"/>
        <s v="cachaca velho barreiro mp" u="1"/>
        <s v="cachaca ypioca prata mp" u="1"/>
        <s v="GUARANA ANTARCTICA ZERO 1L" u="1"/>
        <s v="GUARANA ANTARCTICA ZERO 2L" u="1"/>
        <s v="DELICIA DE LIMAO" u="1"/>
        <s v="cachaca ypioca empalhada mp" u="1"/>
        <s v="acafrao em po mp" u="1"/>
        <s v="alcool em gel" u="1"/>
        <s v="aperitivo campari mp" u="1"/>
        <s v="salsicha mp" u="1"/>
        <s v="prep rondelli massa recheada" u="1"/>
      </sharedItems>
    </cacheField>
    <cacheField name="Grupo" numFmtId="0">
      <sharedItems count="35">
        <e v="#N/A"/>
        <s v="PUDINS"/>
        <s v="CARNES BOVINAS"/>
        <s v="CONGELADOS"/>
        <s v="CONSERVAS"/>
        <s v="EMBUTIDOS"/>
        <s v="FRANGOS E DERIVADOS"/>
        <s v="HORTIFRUTI"/>
        <s v="LATICINIOS"/>
        <s v="PEIXES E FRUTOS DO MAR"/>
        <s v="SECOS E MERCEARIA"/>
        <s v="SUINOS E DERIVADOS"/>
        <s v="AZEITES"/>
        <s v="CAFES"/>
        <s v="MOLHOS"/>
        <s v="OLEO DE SOJA"/>
        <s v="PRE PREPARO BAR"/>
        <s v="PRE PREPARO COZINHA"/>
        <s v="MATERIAIS DE LIMPEZA"/>
        <s v="CACHACAS"/>
        <s v="VODKAS"/>
        <s v="WHISKIES"/>
        <s v="VINHOS"/>
        <s v="TEMPEROS E CORANTES" u="1"/>
        <s v="CARVAO" u="1"/>
        <s v="GUARDANAPOS E PAPEL TOALHA" u="1"/>
        <s v="SALGADINHOS" u="1"/>
        <s v="CERVEJAS" u="1"/>
        <s v="AGUAS" u="1"/>
        <s v="REFRIGERANTES" u="1"/>
        <s v="MOUSSES" u="1"/>
        <s v="EMBALAGENS" u="1"/>
        <s v="PALITO DENTAL" u="1"/>
        <s v="DELICIAS" u="1"/>
        <s v="APERITIVA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">
  <r>
    <s v="1090-capa de contra file mp"/>
    <x v="0"/>
    <n v="13.3"/>
    <n v="30.630099999999999"/>
    <n v="407.38033000000001"/>
    <x v="0"/>
    <x v="0"/>
  </r>
  <r>
    <s v="296-PUDIM DE LEITE CONDENSADO"/>
    <x v="1"/>
    <n v="12"/>
    <n v="9"/>
    <n v="108"/>
    <x v="1"/>
    <x v="1"/>
  </r>
  <r>
    <s v="429-carne de sol mp"/>
    <x v="0"/>
    <n v="3.8"/>
    <n v="46.906700000000001"/>
    <n v="178.24546000000001"/>
    <x v="2"/>
    <x v="0"/>
  </r>
  <r>
    <s v="429-carne de sol mp"/>
    <x v="0"/>
    <n v="3.1"/>
    <n v="46.906700000000001"/>
    <n v="145.41077000000001"/>
    <x v="2"/>
    <x v="0"/>
  </r>
  <r>
    <s v="430-contra file mp"/>
    <x v="0"/>
    <n v="25.5"/>
    <n v="42.89"/>
    <n v="1093.6949999999999"/>
    <x v="3"/>
    <x v="0"/>
  </r>
  <r>
    <s v="430-contra file mp"/>
    <x v="0"/>
    <n v="58"/>
    <n v="42.89"/>
    <n v="2487.62"/>
    <x v="3"/>
    <x v="0"/>
  </r>
  <r>
    <s v="430-contra file mp"/>
    <x v="0"/>
    <n v="25.9"/>
    <n v="42.89"/>
    <n v="1110.8509999999999"/>
    <x v="3"/>
    <x v="0"/>
  </r>
  <r>
    <s v="430-contra file mp"/>
    <x v="0"/>
    <n v="27.95"/>
    <n v="42.89"/>
    <n v="1198.7755"/>
    <x v="3"/>
    <x v="0"/>
  </r>
  <r>
    <s v="430-contra file mp"/>
    <x v="0"/>
    <n v="27"/>
    <n v="41"/>
    <n v="1107"/>
    <x v="3"/>
    <x v="0"/>
  </r>
  <r>
    <s v="430-contra file mp"/>
    <x v="0"/>
    <n v="15.85"/>
    <n v="41"/>
    <n v="649.85"/>
    <x v="3"/>
    <x v="0"/>
  </r>
  <r>
    <s v="430-contra file mp"/>
    <x v="0"/>
    <n v="24"/>
    <n v="41"/>
    <n v="984"/>
    <x v="3"/>
    <x v="0"/>
  </r>
  <r>
    <s v="430-contra file mp"/>
    <x v="0"/>
    <n v="50.5"/>
    <n v="41"/>
    <n v="2070.5"/>
    <x v="3"/>
    <x v="0"/>
  </r>
  <r>
    <s v="430-contra file mp"/>
    <x v="0"/>
    <n v="24"/>
    <n v="39.89"/>
    <n v="957.36"/>
    <x v="3"/>
    <x v="0"/>
  </r>
  <r>
    <s v="430-contra file mp"/>
    <x v="0"/>
    <n v="26.3"/>
    <n v="39.89"/>
    <n v="1049.107"/>
    <x v="3"/>
    <x v="0"/>
  </r>
  <r>
    <s v="431-cordao do file mignon mp"/>
    <x v="0"/>
    <n v="5"/>
    <n v="26.4999"/>
    <n v="132.49950000000001"/>
    <x v="4"/>
    <x v="0"/>
  </r>
  <r>
    <s v="432-file mignon mp"/>
    <x v="0"/>
    <n v="3.25"/>
    <n v="65"/>
    <n v="211.25"/>
    <x v="5"/>
    <x v="0"/>
  </r>
  <r>
    <s v="432-file mignon mp"/>
    <x v="0"/>
    <n v="5.35"/>
    <n v="65"/>
    <n v="347.75"/>
    <x v="5"/>
    <x v="0"/>
  </r>
  <r>
    <s v="432-file mignon mp"/>
    <x v="0"/>
    <n v="4"/>
    <n v="65"/>
    <n v="260"/>
    <x v="5"/>
    <x v="0"/>
  </r>
  <r>
    <s v="432-file mignon mp"/>
    <x v="0"/>
    <n v="1.25"/>
    <n v="64.990200000000002"/>
    <n v="81.237750000000005"/>
    <x v="5"/>
    <x v="0"/>
  </r>
  <r>
    <s v="432-file mignon mp"/>
    <x v="0"/>
    <n v="4.95"/>
    <n v="64.990200000000002"/>
    <n v="321.70149000000004"/>
    <x v="5"/>
    <x v="0"/>
  </r>
  <r>
    <s v="432-file mignon mp"/>
    <x v="0"/>
    <n v="3.85"/>
    <n v="65"/>
    <n v="250.25"/>
    <x v="5"/>
    <x v="0"/>
  </r>
  <r>
    <s v="432-file mignon mp"/>
    <x v="0"/>
    <n v="1.6"/>
    <n v="65"/>
    <n v="104"/>
    <x v="5"/>
    <x v="0"/>
  </r>
  <r>
    <s v="432-file mignon mp"/>
    <x v="0"/>
    <n v="3.7"/>
    <n v="65"/>
    <n v="240.5"/>
    <x v="5"/>
    <x v="0"/>
  </r>
  <r>
    <s v="434-picanha importada mp"/>
    <x v="0"/>
    <n v="4.9000000000000004"/>
    <n v="92.197999999999993"/>
    <n v="451.77019999999999"/>
    <x v="6"/>
    <x v="0"/>
  </r>
  <r>
    <s v="434-picanha importada mp"/>
    <x v="0"/>
    <n v="6.95"/>
    <n v="92.170400000000001"/>
    <n v="640.58428000000004"/>
    <x v="6"/>
    <x v="0"/>
  </r>
  <r>
    <s v="434-picanha importada mp"/>
    <x v="0"/>
    <n v="7"/>
    <n v="92.168000000000006"/>
    <n v="645.17600000000004"/>
    <x v="6"/>
    <x v="0"/>
  </r>
  <r>
    <s v="434-picanha importada mp"/>
    <x v="0"/>
    <n v="3.7"/>
    <n v="92.168000000000006"/>
    <n v="341.02160000000003"/>
    <x v="6"/>
    <x v="0"/>
  </r>
  <r>
    <s v="434-picanha importada mp"/>
    <x v="0"/>
    <n v="7"/>
    <n v="92.168000000000006"/>
    <n v="645.17600000000004"/>
    <x v="6"/>
    <x v="0"/>
  </r>
  <r>
    <s v="436-batata pre frita mp"/>
    <x v="0"/>
    <n v="24"/>
    <n v="12.9543"/>
    <n v="310.90319999999997"/>
    <x v="7"/>
    <x v="2"/>
  </r>
  <r>
    <s v="436-batata pre frita mp"/>
    <x v="0"/>
    <n v="24"/>
    <n v="12.9543"/>
    <n v="310.90319999999997"/>
    <x v="7"/>
    <x v="2"/>
  </r>
  <r>
    <s v="436-batata pre frita mp"/>
    <x v="0"/>
    <n v="12"/>
    <n v="12.9543"/>
    <n v="155.45159999999998"/>
    <x v="7"/>
    <x v="2"/>
  </r>
  <r>
    <s v="436-batata pre frita mp"/>
    <x v="0"/>
    <n v="48"/>
    <n v="12.953900000000001"/>
    <n v="621.78719999999998"/>
    <x v="7"/>
    <x v="2"/>
  </r>
  <r>
    <s v="436-batata pre frita mp"/>
    <x v="0"/>
    <n v="24"/>
    <n v="12.953900000000001"/>
    <n v="310.89359999999999"/>
    <x v="7"/>
    <x v="2"/>
  </r>
  <r>
    <s v="436-batata pre frita mp"/>
    <x v="0"/>
    <n v="24"/>
    <n v="12.953900000000001"/>
    <n v="310.89359999999999"/>
    <x v="7"/>
    <x v="2"/>
  </r>
  <r>
    <s v="436-batata pre frita mp"/>
    <x v="0"/>
    <n v="24"/>
    <n v="12.953900000000001"/>
    <n v="310.89359999999999"/>
    <x v="7"/>
    <x v="2"/>
  </r>
  <r>
    <s v="436-batata pre frita mp"/>
    <x v="0"/>
    <n v="12"/>
    <n v="12.953900000000001"/>
    <n v="155.4468"/>
    <x v="7"/>
    <x v="2"/>
  </r>
  <r>
    <s v="436-batata pre frita mp"/>
    <x v="0"/>
    <n v="24"/>
    <n v="10.596500000000001"/>
    <n v="254.31600000000003"/>
    <x v="7"/>
    <x v="2"/>
  </r>
  <r>
    <s v="436-batata pre frita mp"/>
    <x v="0"/>
    <n v="24"/>
    <n v="10.596500000000001"/>
    <n v="254.31600000000003"/>
    <x v="7"/>
    <x v="2"/>
  </r>
  <r>
    <s v="436-batata pre frita mp"/>
    <x v="0"/>
    <n v="12"/>
    <n v="12.953900000000001"/>
    <n v="155.4468"/>
    <x v="7"/>
    <x v="2"/>
  </r>
  <r>
    <s v="436-batata pre frita mp"/>
    <x v="0"/>
    <n v="28"/>
    <n v="11.799300000000001"/>
    <n v="330.38040000000001"/>
    <x v="7"/>
    <x v="2"/>
  </r>
  <r>
    <s v="436-batata pre frita mp"/>
    <x v="0"/>
    <n v="24"/>
    <n v="11.799300000000001"/>
    <n v="283.1832"/>
    <x v="7"/>
    <x v="2"/>
  </r>
  <r>
    <s v="440-lanche apresuntado mp"/>
    <x v="0"/>
    <n v="5"/>
    <n v="6.99"/>
    <n v="34.950000000000003"/>
    <x v="8"/>
    <x v="3"/>
  </r>
  <r>
    <s v="440-lanche apresuntado mp"/>
    <x v="0"/>
    <n v="5.05"/>
    <n v="6.99"/>
    <n v="35.299500000000002"/>
    <x v="8"/>
    <x v="3"/>
  </r>
  <r>
    <s v="440-lanche apresuntado mp"/>
    <x v="0"/>
    <n v="2.5499999999999998"/>
    <n v="6.99"/>
    <n v="17.8245"/>
    <x v="8"/>
    <x v="3"/>
  </r>
  <r>
    <s v="440-lanche apresuntado mp"/>
    <x v="0"/>
    <n v="5"/>
    <n v="6.99"/>
    <n v="34.950000000000003"/>
    <x v="8"/>
    <x v="3"/>
  </r>
  <r>
    <s v="440-lanche apresuntado mp"/>
    <x v="0"/>
    <n v="5"/>
    <n v="7.99"/>
    <n v="39.950000000000003"/>
    <x v="8"/>
    <x v="3"/>
  </r>
  <r>
    <s v="440-lanche apresuntado mp"/>
    <x v="0"/>
    <n v="10"/>
    <n v="7.99"/>
    <n v="79.900000000000006"/>
    <x v="8"/>
    <x v="3"/>
  </r>
  <r>
    <s v="440-lanche apresuntado mp"/>
    <x v="0"/>
    <n v="2.6"/>
    <n v="7.99"/>
    <n v="20.774000000000001"/>
    <x v="8"/>
    <x v="3"/>
  </r>
  <r>
    <s v="441-linguica calabresa mp"/>
    <x v="0"/>
    <n v="4.5"/>
    <n v="20.889299999999999"/>
    <n v="94.00184999999999"/>
    <x v="9"/>
    <x v="3"/>
  </r>
  <r>
    <s v="441-linguica calabresa mp"/>
    <x v="0"/>
    <n v="3"/>
    <n v="22.94"/>
    <n v="68.820000000000007"/>
    <x v="9"/>
    <x v="3"/>
  </r>
  <r>
    <s v="442-linguica suina mp"/>
    <x v="0"/>
    <n v="25"/>
    <n v="18.53"/>
    <n v="463.25"/>
    <x v="10"/>
    <x v="3"/>
  </r>
  <r>
    <s v="442-linguica suina mp"/>
    <x v="0"/>
    <n v="10"/>
    <n v="16.655000000000001"/>
    <n v="166.55"/>
    <x v="10"/>
    <x v="3"/>
  </r>
  <r>
    <s v="445-coxa e sobrecoxa mp"/>
    <x v="0"/>
    <n v="7.25"/>
    <n v="8.7899999999999991"/>
    <n v="63.727499999999992"/>
    <x v="11"/>
    <x v="4"/>
  </r>
  <r>
    <s v="445-coxa e sobrecoxa mp"/>
    <x v="0"/>
    <n v="5.8"/>
    <n v="8.8000000000000007"/>
    <n v="51.04"/>
    <x v="11"/>
    <x v="4"/>
  </r>
  <r>
    <s v="445-coxa e sobrecoxa mp"/>
    <x v="0"/>
    <n v="9.5"/>
    <n v="9.3896999999999995"/>
    <n v="89.202149999999989"/>
    <x v="11"/>
    <x v="4"/>
  </r>
  <r>
    <s v="446-file de peito de frango mp"/>
    <x v="0"/>
    <n v="30"/>
    <n v="17.414999999999999"/>
    <n v="522.44999999999993"/>
    <x v="12"/>
    <x v="4"/>
  </r>
  <r>
    <s v="446-file de peito de frango mp"/>
    <x v="0"/>
    <n v="30"/>
    <n v="17.414999999999999"/>
    <n v="522.44999999999993"/>
    <x v="12"/>
    <x v="4"/>
  </r>
  <r>
    <s v="446-file de peito de frango mp"/>
    <x v="0"/>
    <n v="15"/>
    <n v="17.414999999999999"/>
    <n v="261.22499999999997"/>
    <x v="12"/>
    <x v="4"/>
  </r>
  <r>
    <s v="446-file de peito de frango mp"/>
    <x v="0"/>
    <n v="15"/>
    <n v="17.414999999999999"/>
    <n v="261.22499999999997"/>
    <x v="12"/>
    <x v="4"/>
  </r>
  <r>
    <s v="446-file de peito de frango mp"/>
    <x v="0"/>
    <n v="30"/>
    <n v="17.414999999999999"/>
    <n v="522.44999999999993"/>
    <x v="12"/>
    <x v="4"/>
  </r>
  <r>
    <s v="446-file de peito de frango mp"/>
    <x v="0"/>
    <n v="30"/>
    <n v="17.414999999999999"/>
    <n v="522.44999999999993"/>
    <x v="12"/>
    <x v="4"/>
  </r>
  <r>
    <s v="446-file de peito de frango mp"/>
    <x v="0"/>
    <n v="30"/>
    <n v="17.414999999999999"/>
    <n v="522.44999999999993"/>
    <x v="12"/>
    <x v="4"/>
  </r>
  <r>
    <s v="446-file de peito de frango mp"/>
    <x v="0"/>
    <n v="15"/>
    <n v="16.119"/>
    <n v="241.785"/>
    <x v="12"/>
    <x v="4"/>
  </r>
  <r>
    <s v="446-file de peito de frango mp"/>
    <x v="0"/>
    <n v="15"/>
    <n v="16.119"/>
    <n v="241.785"/>
    <x v="12"/>
    <x v="4"/>
  </r>
  <r>
    <s v="447-frango inteiro mp"/>
    <x v="0"/>
    <n v="3.3"/>
    <n v="9.9708000000000006"/>
    <n v="32.903640000000003"/>
    <x v="13"/>
    <x v="4"/>
  </r>
  <r>
    <s v="447-frango inteiro mp"/>
    <x v="0"/>
    <n v="6"/>
    <n v="9.9708000000000006"/>
    <n v="59.824800000000003"/>
    <x v="13"/>
    <x v="4"/>
  </r>
  <r>
    <s v="447-frango inteiro mp"/>
    <x v="0"/>
    <n v="8.85"/>
    <n v="9.9708000000000006"/>
    <n v="88.241579999999999"/>
    <x v="13"/>
    <x v="4"/>
  </r>
  <r>
    <s v="447-frango inteiro mp"/>
    <x v="0"/>
    <n v="5"/>
    <n v="9.9708000000000006"/>
    <n v="49.853999999999999"/>
    <x v="13"/>
    <x v="4"/>
  </r>
  <r>
    <s v="447-frango inteiro mp"/>
    <x v="0"/>
    <n v="5.6"/>
    <n v="9.9708000000000006"/>
    <n v="55.836480000000002"/>
    <x v="13"/>
    <x v="4"/>
  </r>
  <r>
    <s v="447-frango inteiro mp"/>
    <x v="0"/>
    <n v="21"/>
    <n v="9.9708000000000006"/>
    <n v="209.38680000000002"/>
    <x v="13"/>
    <x v="4"/>
  </r>
  <r>
    <s v="447-frango inteiro mp"/>
    <x v="0"/>
    <n v="6.25"/>
    <n v="9.9708000000000006"/>
    <n v="62.317500000000003"/>
    <x v="13"/>
    <x v="4"/>
  </r>
  <r>
    <s v="447-frango inteiro mp"/>
    <x v="0"/>
    <n v="6.1"/>
    <n v="9.9708000000000006"/>
    <n v="60.82188"/>
    <x v="13"/>
    <x v="4"/>
  </r>
  <r>
    <s v="447-frango inteiro mp"/>
    <x v="0"/>
    <n v="7"/>
    <n v="9.9708000000000006"/>
    <n v="69.795600000000007"/>
    <x v="13"/>
    <x v="4"/>
  </r>
  <r>
    <s v="447-frango inteiro mp"/>
    <x v="0"/>
    <n v="7.4"/>
    <n v="9.9708000000000006"/>
    <n v="73.783920000000009"/>
    <x v="13"/>
    <x v="4"/>
  </r>
  <r>
    <s v="450-coentro mp"/>
    <x v="0"/>
    <n v="1.2"/>
    <n v="1.55"/>
    <n v="1.8599999999999999"/>
    <x v="14"/>
    <x v="5"/>
  </r>
  <r>
    <s v="450-coentro mp"/>
    <x v="0"/>
    <n v="1.9"/>
    <n v="1.55"/>
    <n v="2.9449999999999998"/>
    <x v="14"/>
    <x v="5"/>
  </r>
  <r>
    <s v="450-coentro mp"/>
    <x v="0"/>
    <n v="1.8"/>
    <n v="1.55"/>
    <n v="2.79"/>
    <x v="14"/>
    <x v="5"/>
  </r>
  <r>
    <s v="450-coentro mp"/>
    <x v="0"/>
    <n v="1.4"/>
    <n v="1.55"/>
    <n v="2.17"/>
    <x v="14"/>
    <x v="5"/>
  </r>
  <r>
    <s v="450-coentro mp"/>
    <x v="0"/>
    <n v="1.65"/>
    <n v="1.55"/>
    <n v="2.5575000000000001"/>
    <x v="14"/>
    <x v="5"/>
  </r>
  <r>
    <s v="450-coentro mp"/>
    <x v="0"/>
    <n v="1.1000000000000001"/>
    <n v="1.55"/>
    <n v="1.7050000000000003"/>
    <x v="14"/>
    <x v="5"/>
  </r>
  <r>
    <s v="450-coentro mp"/>
    <x v="0"/>
    <n v="0.9"/>
    <n v="1.55"/>
    <n v="1.395"/>
    <x v="14"/>
    <x v="5"/>
  </r>
  <r>
    <s v="450-coentro mp"/>
    <x v="0"/>
    <n v="2.7"/>
    <n v="1.55"/>
    <n v="4.1850000000000005"/>
    <x v="14"/>
    <x v="5"/>
  </r>
  <r>
    <s v="450-coentro mp"/>
    <x v="0"/>
    <n v="1.35"/>
    <n v="1.55"/>
    <n v="2.0925000000000002"/>
    <x v="14"/>
    <x v="5"/>
  </r>
  <r>
    <s v="453-pimentao mp"/>
    <x v="0"/>
    <n v="4"/>
    <n v="2.5"/>
    <n v="10"/>
    <x v="15"/>
    <x v="5"/>
  </r>
  <r>
    <s v="453-pimentao mp"/>
    <x v="0"/>
    <n v="3.35"/>
    <n v="2.5"/>
    <n v="8.375"/>
    <x v="15"/>
    <x v="5"/>
  </r>
  <r>
    <s v="453-pimentao mp"/>
    <x v="0"/>
    <n v="5.7"/>
    <n v="2.5"/>
    <n v="14.25"/>
    <x v="15"/>
    <x v="5"/>
  </r>
  <r>
    <s v="453-pimentao mp"/>
    <x v="0"/>
    <n v="4"/>
    <n v="2.5"/>
    <n v="10"/>
    <x v="15"/>
    <x v="5"/>
  </r>
  <r>
    <s v="453-pimentao mp"/>
    <x v="0"/>
    <n v="5.8"/>
    <n v="2.5"/>
    <n v="14.5"/>
    <x v="15"/>
    <x v="5"/>
  </r>
  <r>
    <s v="453-pimentao mp"/>
    <x v="0"/>
    <n v="4.2"/>
    <n v="2.5"/>
    <n v="10.5"/>
    <x v="15"/>
    <x v="5"/>
  </r>
  <r>
    <s v="454-tomate mp"/>
    <x v="0"/>
    <n v="23"/>
    <n v="7"/>
    <n v="161"/>
    <x v="16"/>
    <x v="5"/>
  </r>
  <r>
    <s v="454-tomate mp"/>
    <x v="0"/>
    <n v="26"/>
    <n v="7"/>
    <n v="182"/>
    <x v="16"/>
    <x v="5"/>
  </r>
  <r>
    <s v="454-tomate mp"/>
    <x v="0"/>
    <n v="27.25"/>
    <n v="7"/>
    <n v="190.75"/>
    <x v="16"/>
    <x v="5"/>
  </r>
  <r>
    <s v="454-tomate mp"/>
    <x v="0"/>
    <n v="25"/>
    <n v="7"/>
    <n v="175"/>
    <x v="16"/>
    <x v="5"/>
  </r>
  <r>
    <s v="454-tomate mp"/>
    <x v="0"/>
    <n v="25"/>
    <n v="7"/>
    <n v="175"/>
    <x v="16"/>
    <x v="5"/>
  </r>
  <r>
    <s v="454-tomate mp"/>
    <x v="0"/>
    <n v="5"/>
    <n v="7"/>
    <n v="35"/>
    <x v="16"/>
    <x v="5"/>
  </r>
  <r>
    <s v="454-tomate mp"/>
    <x v="0"/>
    <n v="26.25"/>
    <n v="7"/>
    <n v="183.75"/>
    <x v="16"/>
    <x v="5"/>
  </r>
  <r>
    <s v="454-tomate mp"/>
    <x v="0"/>
    <n v="9.25"/>
    <n v="7"/>
    <n v="64.75"/>
    <x v="16"/>
    <x v="5"/>
  </r>
  <r>
    <s v="454-tomate mp"/>
    <x v="0"/>
    <n v="25.2"/>
    <n v="7"/>
    <n v="176.4"/>
    <x v="16"/>
    <x v="5"/>
  </r>
  <r>
    <s v="455-laranja mp"/>
    <x v="0"/>
    <n v="18"/>
    <n v="2.1053000000000002"/>
    <n v="37.895400000000002"/>
    <x v="17"/>
    <x v="5"/>
  </r>
  <r>
    <s v="455-laranja mp"/>
    <x v="0"/>
    <n v="38"/>
    <n v="2.1053000000000002"/>
    <n v="80.001400000000004"/>
    <x v="17"/>
    <x v="5"/>
  </r>
  <r>
    <s v="455-laranja mp"/>
    <x v="0"/>
    <n v="20"/>
    <n v="2.1053000000000002"/>
    <n v="42.106000000000002"/>
    <x v="17"/>
    <x v="5"/>
  </r>
  <r>
    <s v="455-laranja mp"/>
    <x v="0"/>
    <n v="18"/>
    <n v="2.1053000000000002"/>
    <n v="37.895400000000002"/>
    <x v="17"/>
    <x v="5"/>
  </r>
  <r>
    <s v="455-laranja mp"/>
    <x v="0"/>
    <n v="19"/>
    <n v="2.1053000000000002"/>
    <n v="40.000700000000002"/>
    <x v="17"/>
    <x v="5"/>
  </r>
  <r>
    <s v="455-laranja mp"/>
    <x v="0"/>
    <n v="40"/>
    <n v="2.1053000000000002"/>
    <n v="84.212000000000003"/>
    <x v="17"/>
    <x v="5"/>
  </r>
  <r>
    <s v="455-laranja mp"/>
    <x v="0"/>
    <n v="20"/>
    <n v="2.1053000000000002"/>
    <n v="42.106000000000002"/>
    <x v="17"/>
    <x v="5"/>
  </r>
  <r>
    <s v="456-limao mp"/>
    <x v="0"/>
    <n v="10"/>
    <n v="4"/>
    <n v="40"/>
    <x v="18"/>
    <x v="5"/>
  </r>
  <r>
    <s v="456-limao mp"/>
    <x v="0"/>
    <n v="9.25"/>
    <n v="4"/>
    <n v="37"/>
    <x v="18"/>
    <x v="5"/>
  </r>
  <r>
    <s v="456-limao mp"/>
    <x v="0"/>
    <n v="1.3"/>
    <n v="4"/>
    <n v="5.2"/>
    <x v="18"/>
    <x v="5"/>
  </r>
  <r>
    <s v="456-limao mp"/>
    <x v="0"/>
    <n v="5.25"/>
    <n v="4"/>
    <n v="21"/>
    <x v="18"/>
    <x v="5"/>
  </r>
  <r>
    <s v="456-limao mp"/>
    <x v="0"/>
    <n v="5.2"/>
    <n v="4"/>
    <n v="20.8"/>
    <x v="18"/>
    <x v="5"/>
  </r>
  <r>
    <s v="456-limao mp"/>
    <x v="0"/>
    <n v="4.45"/>
    <n v="4"/>
    <n v="17.8"/>
    <x v="18"/>
    <x v="5"/>
  </r>
  <r>
    <s v="458-morango mp"/>
    <x v="0"/>
    <n v="1.5"/>
    <n v="35"/>
    <n v="52.5"/>
    <x v="19"/>
    <x v="5"/>
  </r>
  <r>
    <s v="459-abacaxi mp"/>
    <x v="1"/>
    <n v="4"/>
    <n v="3.6111"/>
    <n v="14.4444"/>
    <x v="20"/>
    <x v="5"/>
  </r>
  <r>
    <s v="459-abacaxi mp"/>
    <x v="1"/>
    <n v="2"/>
    <n v="3.6111"/>
    <n v="7.2222"/>
    <x v="20"/>
    <x v="5"/>
  </r>
  <r>
    <s v="459-abacaxi mp"/>
    <x v="1"/>
    <n v="3"/>
    <n v="3.6111"/>
    <n v="10.833299999999999"/>
    <x v="20"/>
    <x v="5"/>
  </r>
  <r>
    <s v="459-abacaxi mp"/>
    <x v="1"/>
    <n v="3"/>
    <n v="3.6111"/>
    <n v="10.833299999999999"/>
    <x v="20"/>
    <x v="5"/>
  </r>
  <r>
    <s v="459-abacaxi mp"/>
    <x v="1"/>
    <n v="3"/>
    <n v="3.6111"/>
    <n v="10.833299999999999"/>
    <x v="20"/>
    <x v="5"/>
  </r>
  <r>
    <s v="459-abacaxi mp"/>
    <x v="1"/>
    <n v="4"/>
    <n v="3.6111"/>
    <n v="14.4444"/>
    <x v="20"/>
    <x v="5"/>
  </r>
  <r>
    <s v="459-abacaxi mp"/>
    <x v="1"/>
    <n v="3"/>
    <n v="3.6111"/>
    <n v="10.833299999999999"/>
    <x v="20"/>
    <x v="5"/>
  </r>
  <r>
    <s v="459-abacaxi mp"/>
    <x v="1"/>
    <n v="2"/>
    <n v="3.6111"/>
    <n v="7.2222"/>
    <x v="20"/>
    <x v="5"/>
  </r>
  <r>
    <s v="460-aipim mp"/>
    <x v="0"/>
    <n v="5.4"/>
    <n v="4.8"/>
    <n v="25.92"/>
    <x v="21"/>
    <x v="5"/>
  </r>
  <r>
    <s v="461-alface mp"/>
    <x v="0"/>
    <n v="1.9"/>
    <n v="0.75"/>
    <n v="1.4249999999999998"/>
    <x v="22"/>
    <x v="5"/>
  </r>
  <r>
    <s v="461-alface mp"/>
    <x v="0"/>
    <n v="1.35"/>
    <n v="0.75"/>
    <n v="1.0125000000000002"/>
    <x v="22"/>
    <x v="5"/>
  </r>
  <r>
    <s v="461-alface mp"/>
    <x v="0"/>
    <n v="1"/>
    <n v="0.75"/>
    <n v="0.75"/>
    <x v="22"/>
    <x v="5"/>
  </r>
  <r>
    <s v="461-alface mp"/>
    <x v="0"/>
    <n v="1.75"/>
    <n v="0.75"/>
    <n v="1.3125"/>
    <x v="22"/>
    <x v="5"/>
  </r>
  <r>
    <s v="461-alface mp"/>
    <x v="0"/>
    <n v="1.6"/>
    <n v="0.75"/>
    <n v="1.2000000000000002"/>
    <x v="22"/>
    <x v="5"/>
  </r>
  <r>
    <s v="461-alface mp"/>
    <x v="0"/>
    <n v="1.05"/>
    <n v="0.75"/>
    <n v="0.78750000000000009"/>
    <x v="22"/>
    <x v="5"/>
  </r>
  <r>
    <s v="461-alface mp"/>
    <x v="0"/>
    <n v="0.9"/>
    <n v="0.75"/>
    <n v="0.67500000000000004"/>
    <x v="22"/>
    <x v="5"/>
  </r>
  <r>
    <s v="461-alface mp"/>
    <x v="0"/>
    <n v="1.1000000000000001"/>
    <n v="0.75"/>
    <n v="0.82500000000000007"/>
    <x v="22"/>
    <x v="5"/>
  </r>
  <r>
    <s v="461-alface mp"/>
    <x v="0"/>
    <n v="0.9"/>
    <n v="0.75"/>
    <n v="0.67500000000000004"/>
    <x v="22"/>
    <x v="5"/>
  </r>
  <r>
    <s v="462-alho mp"/>
    <x v="0"/>
    <n v="3.2"/>
    <n v="8"/>
    <n v="25.6"/>
    <x v="23"/>
    <x v="5"/>
  </r>
  <r>
    <s v="462-alho mp"/>
    <x v="0"/>
    <n v="2.2000000000000002"/>
    <n v="8"/>
    <n v="17.600000000000001"/>
    <x v="23"/>
    <x v="5"/>
  </r>
  <r>
    <s v="462-alho mp"/>
    <x v="0"/>
    <n v="1.85"/>
    <n v="8"/>
    <n v="14.8"/>
    <x v="23"/>
    <x v="5"/>
  </r>
  <r>
    <s v="463-batata inglesa mp"/>
    <x v="0"/>
    <n v="25"/>
    <n v="2.7082999999999999"/>
    <n v="67.707499999999996"/>
    <x v="24"/>
    <x v="5"/>
  </r>
  <r>
    <s v="463-batata inglesa mp"/>
    <x v="0"/>
    <n v="20"/>
    <n v="2.7082999999999999"/>
    <n v="54.165999999999997"/>
    <x v="24"/>
    <x v="5"/>
  </r>
  <r>
    <s v="463-batata inglesa mp"/>
    <x v="0"/>
    <n v="20"/>
    <n v="2.7082999999999999"/>
    <n v="54.165999999999997"/>
    <x v="24"/>
    <x v="5"/>
  </r>
  <r>
    <s v="463-batata inglesa mp"/>
    <x v="0"/>
    <n v="24"/>
    <n v="2.7082999999999999"/>
    <n v="64.999200000000002"/>
    <x v="24"/>
    <x v="5"/>
  </r>
  <r>
    <s v="463-batata inglesa mp"/>
    <x v="0"/>
    <n v="21"/>
    <n v="2.7082999999999999"/>
    <n v="56.874299999999998"/>
    <x v="24"/>
    <x v="5"/>
  </r>
  <r>
    <s v="463-batata inglesa mp"/>
    <x v="0"/>
    <n v="6"/>
    <n v="2.7082999999999999"/>
    <n v="16.2498"/>
    <x v="24"/>
    <x v="5"/>
  </r>
  <r>
    <s v="464-brocolis mp"/>
    <x v="0"/>
    <n v="4.7"/>
    <n v="6.2868000000000004"/>
    <n v="29.547960000000003"/>
    <x v="25"/>
    <x v="5"/>
  </r>
  <r>
    <s v="464-brocolis mp"/>
    <x v="0"/>
    <n v="2.57"/>
    <n v="6.2868000000000004"/>
    <n v="16.157076"/>
    <x v="25"/>
    <x v="5"/>
  </r>
  <r>
    <s v="465-cebola branca mp"/>
    <x v="0"/>
    <n v="20"/>
    <n v="1.7"/>
    <n v="34"/>
    <x v="26"/>
    <x v="5"/>
  </r>
  <r>
    <s v="465-cebola branca mp"/>
    <x v="0"/>
    <n v="20"/>
    <n v="1.7"/>
    <n v="34"/>
    <x v="26"/>
    <x v="5"/>
  </r>
  <r>
    <s v="465-cebola branca mp"/>
    <x v="0"/>
    <n v="19.55"/>
    <n v="1.7"/>
    <n v="33.234999999999999"/>
    <x v="26"/>
    <x v="5"/>
  </r>
  <r>
    <s v="465-cebola branca mp"/>
    <x v="0"/>
    <n v="20"/>
    <n v="1.7"/>
    <n v="34"/>
    <x v="26"/>
    <x v="5"/>
  </r>
  <r>
    <s v="465-cebola branca mp"/>
    <x v="0"/>
    <n v="20"/>
    <n v="1.7"/>
    <n v="34"/>
    <x v="26"/>
    <x v="5"/>
  </r>
  <r>
    <s v="466-cenoura mp"/>
    <x v="0"/>
    <n v="4.6500000000000004"/>
    <n v="2.5"/>
    <n v="11.625"/>
    <x v="27"/>
    <x v="5"/>
  </r>
  <r>
    <s v="466-cenoura mp"/>
    <x v="0"/>
    <n v="12"/>
    <n v="3"/>
    <n v="36"/>
    <x v="27"/>
    <x v="5"/>
  </r>
  <r>
    <s v="466-cenoura mp"/>
    <x v="0"/>
    <n v="21.18"/>
    <n v="2.5"/>
    <n v="52.95"/>
    <x v="27"/>
    <x v="5"/>
  </r>
  <r>
    <s v="466-cenoura mp"/>
    <x v="0"/>
    <n v="8"/>
    <n v="2.5"/>
    <n v="20"/>
    <x v="27"/>
    <x v="5"/>
  </r>
  <r>
    <s v="466-cenoura mp"/>
    <x v="0"/>
    <n v="22"/>
    <n v="3"/>
    <n v="66"/>
    <x v="27"/>
    <x v="5"/>
  </r>
  <r>
    <s v="466-cenoura mp"/>
    <x v="0"/>
    <n v="14.4"/>
    <n v="2.5"/>
    <n v="36"/>
    <x v="27"/>
    <x v="5"/>
  </r>
  <r>
    <s v="466-cenoura mp"/>
    <x v="0"/>
    <n v="7.6"/>
    <n v="2.5"/>
    <n v="19"/>
    <x v="27"/>
    <x v="5"/>
  </r>
  <r>
    <s v="466-cenoura mp"/>
    <x v="0"/>
    <n v="20"/>
    <n v="4"/>
    <n v="80"/>
    <x v="27"/>
    <x v="5"/>
  </r>
  <r>
    <s v="467-leite mp"/>
    <x v="2"/>
    <n v="12"/>
    <n v="3.5"/>
    <n v="42"/>
    <x v="28"/>
    <x v="6"/>
  </r>
  <r>
    <s v="467-leite mp"/>
    <x v="2"/>
    <n v="17.5"/>
    <n v="3.5"/>
    <n v="61.25"/>
    <x v="28"/>
    <x v="6"/>
  </r>
  <r>
    <s v="467-leite mp"/>
    <x v="2"/>
    <n v="18.5"/>
    <n v="3.5"/>
    <n v="64.75"/>
    <x v="28"/>
    <x v="6"/>
  </r>
  <r>
    <s v="467-leite mp"/>
    <x v="2"/>
    <n v="12"/>
    <n v="3.5"/>
    <n v="42"/>
    <x v="28"/>
    <x v="6"/>
  </r>
  <r>
    <s v="467-leite mp"/>
    <x v="2"/>
    <n v="10"/>
    <n v="3.5"/>
    <n v="35"/>
    <x v="28"/>
    <x v="6"/>
  </r>
  <r>
    <s v="467-leite mp"/>
    <x v="2"/>
    <n v="10"/>
    <n v="3.5"/>
    <n v="35"/>
    <x v="28"/>
    <x v="6"/>
  </r>
  <r>
    <s v="467-leite mp"/>
    <x v="2"/>
    <n v="14"/>
    <n v="3.5"/>
    <n v="49"/>
    <x v="28"/>
    <x v="6"/>
  </r>
  <r>
    <s v="467-leite mp"/>
    <x v="2"/>
    <n v="9"/>
    <n v="3.5"/>
    <n v="31.5"/>
    <x v="28"/>
    <x v="6"/>
  </r>
  <r>
    <s v="467-leite mp"/>
    <x v="2"/>
    <n v="20"/>
    <n v="3.5"/>
    <n v="70"/>
    <x v="28"/>
    <x v="6"/>
  </r>
  <r>
    <s v="467-leite mp"/>
    <x v="2"/>
    <n v="7.5"/>
    <n v="3.5"/>
    <n v="26.25"/>
    <x v="28"/>
    <x v="6"/>
  </r>
  <r>
    <s v="467-leite mp"/>
    <x v="2"/>
    <n v="4"/>
    <n v="3.5"/>
    <n v="14"/>
    <x v="28"/>
    <x v="6"/>
  </r>
  <r>
    <s v="467-leite mp"/>
    <x v="2"/>
    <n v="8"/>
    <n v="3.5"/>
    <n v="28"/>
    <x v="28"/>
    <x v="6"/>
  </r>
  <r>
    <s v="467-leite mp"/>
    <x v="2"/>
    <n v="15.5"/>
    <n v="3.5"/>
    <n v="54.25"/>
    <x v="28"/>
    <x v="6"/>
  </r>
  <r>
    <s v="467-leite mp"/>
    <x v="2"/>
    <n v="8"/>
    <n v="3.5"/>
    <n v="28"/>
    <x v="28"/>
    <x v="6"/>
  </r>
  <r>
    <s v="467-leite mp"/>
    <x v="2"/>
    <n v="16"/>
    <n v="3.5"/>
    <n v="56"/>
    <x v="28"/>
    <x v="6"/>
  </r>
  <r>
    <s v="467-leite mp"/>
    <x v="2"/>
    <n v="11"/>
    <n v="3.5"/>
    <n v="38.5"/>
    <x v="28"/>
    <x v="6"/>
  </r>
  <r>
    <s v="467-leite mp"/>
    <x v="2"/>
    <n v="10"/>
    <n v="3.5"/>
    <n v="35"/>
    <x v="28"/>
    <x v="6"/>
  </r>
  <r>
    <s v="467-leite mp"/>
    <x v="2"/>
    <n v="13.5"/>
    <n v="3.5"/>
    <n v="47.25"/>
    <x v="28"/>
    <x v="6"/>
  </r>
  <r>
    <s v="467-leite mp"/>
    <x v="2"/>
    <n v="20"/>
    <n v="3.5"/>
    <n v="70"/>
    <x v="28"/>
    <x v="6"/>
  </r>
  <r>
    <s v="467-leite mp"/>
    <x v="2"/>
    <n v="12.5"/>
    <n v="3.5"/>
    <n v="43.75"/>
    <x v="28"/>
    <x v="6"/>
  </r>
  <r>
    <s v="467-leite mp"/>
    <x v="2"/>
    <n v="21"/>
    <n v="3.5"/>
    <n v="73.5"/>
    <x v="28"/>
    <x v="6"/>
  </r>
  <r>
    <s v="467-leite mp"/>
    <x v="2"/>
    <n v="7"/>
    <n v="3.5"/>
    <n v="24.5"/>
    <x v="28"/>
    <x v="6"/>
  </r>
  <r>
    <s v="467-leite mp"/>
    <x v="2"/>
    <n v="11.5"/>
    <n v="3.5"/>
    <n v="40.25"/>
    <x v="28"/>
    <x v="6"/>
  </r>
  <r>
    <s v="467-leite mp"/>
    <x v="2"/>
    <n v="26"/>
    <n v="3.5"/>
    <n v="91"/>
    <x v="28"/>
    <x v="6"/>
  </r>
  <r>
    <s v="467-leite mp"/>
    <x v="2"/>
    <n v="10.5"/>
    <n v="3.5"/>
    <n v="36.75"/>
    <x v="28"/>
    <x v="6"/>
  </r>
  <r>
    <s v="469-margarina mp"/>
    <x v="0"/>
    <n v="1"/>
    <n v="8.3699999999999992"/>
    <n v="8.3699999999999992"/>
    <x v="29"/>
    <x v="6"/>
  </r>
  <r>
    <s v="469-margarina mp"/>
    <x v="0"/>
    <n v="14"/>
    <n v="8.3699999999999992"/>
    <n v="117.17999999999999"/>
    <x v="29"/>
    <x v="6"/>
  </r>
  <r>
    <s v="469-margarina mp"/>
    <x v="0"/>
    <n v="14"/>
    <n v="8.31"/>
    <n v="116.34"/>
    <x v="29"/>
    <x v="6"/>
  </r>
  <r>
    <s v="470-queijo coalho mp"/>
    <x v="0"/>
    <n v="2.2999999999999998"/>
    <n v="27.670200000000001"/>
    <n v="63.641459999999995"/>
    <x v="30"/>
    <x v="6"/>
  </r>
  <r>
    <s v="470-queijo coalho mp"/>
    <x v="0"/>
    <n v="3.85"/>
    <n v="27.670200000000001"/>
    <n v="106.53027"/>
    <x v="30"/>
    <x v="6"/>
  </r>
  <r>
    <s v="470-queijo coalho mp"/>
    <x v="0"/>
    <n v="4.2"/>
    <n v="21.029199999999999"/>
    <n v="88.322640000000007"/>
    <x v="30"/>
    <x v="6"/>
  </r>
  <r>
    <s v="470-queijo coalho mp"/>
    <x v="0"/>
    <n v="4.1500000000000004"/>
    <n v="21.029199999999999"/>
    <n v="87.271180000000001"/>
    <x v="30"/>
    <x v="6"/>
  </r>
  <r>
    <s v="470-queijo coalho mp"/>
    <x v="0"/>
    <n v="2.15"/>
    <n v="21.029199999999999"/>
    <n v="45.212779999999995"/>
    <x v="30"/>
    <x v="6"/>
  </r>
  <r>
    <s v="470-queijo coalho mp"/>
    <x v="0"/>
    <n v="4.75"/>
    <n v="21.029199999999999"/>
    <n v="99.8887"/>
    <x v="30"/>
    <x v="6"/>
  </r>
  <r>
    <s v="470-queijo coalho mp"/>
    <x v="0"/>
    <n v="2.75"/>
    <n v="21.029199999999999"/>
    <n v="57.830300000000001"/>
    <x v="30"/>
    <x v="6"/>
  </r>
  <r>
    <s v="470-queijo coalho mp"/>
    <x v="0"/>
    <n v="4.2"/>
    <n v="21.029199999999999"/>
    <n v="88.322640000000007"/>
    <x v="30"/>
    <x v="6"/>
  </r>
  <r>
    <s v="470-queijo coalho mp"/>
    <x v="0"/>
    <n v="3.3"/>
    <n v="21.029199999999999"/>
    <n v="69.396360000000001"/>
    <x v="30"/>
    <x v="6"/>
  </r>
  <r>
    <s v="470-queijo coalho mp"/>
    <x v="0"/>
    <n v="3.15"/>
    <n v="21.029199999999999"/>
    <n v="66.241979999999998"/>
    <x v="30"/>
    <x v="6"/>
  </r>
  <r>
    <s v="470-queijo coalho mp"/>
    <x v="0"/>
    <n v="3.2"/>
    <n v="21.029199999999999"/>
    <n v="67.293440000000004"/>
    <x v="30"/>
    <x v="6"/>
  </r>
  <r>
    <s v="471-queijo mussarela mp"/>
    <x v="0"/>
    <n v="1.35"/>
    <n v="31.5"/>
    <n v="42.525000000000006"/>
    <x v="31"/>
    <x v="6"/>
  </r>
  <r>
    <s v="471-queijo mussarela mp"/>
    <x v="0"/>
    <n v="4"/>
    <n v="31.5"/>
    <n v="126"/>
    <x v="31"/>
    <x v="6"/>
  </r>
  <r>
    <s v="471-queijo mussarela mp"/>
    <x v="0"/>
    <n v="3.5"/>
    <n v="31.5"/>
    <n v="110.25"/>
    <x v="31"/>
    <x v="6"/>
  </r>
  <r>
    <s v="471-queijo mussarela mp"/>
    <x v="0"/>
    <n v="8"/>
    <n v="31.5"/>
    <n v="252"/>
    <x v="31"/>
    <x v="6"/>
  </r>
  <r>
    <s v="471-queijo mussarela mp"/>
    <x v="0"/>
    <n v="4.1500000000000004"/>
    <n v="30.990100000000002"/>
    <n v="128.60891500000002"/>
    <x v="31"/>
    <x v="6"/>
  </r>
  <r>
    <s v="471-queijo mussarela mp"/>
    <x v="0"/>
    <n v="3.9"/>
    <n v="30.990100000000002"/>
    <n v="120.86139"/>
    <x v="31"/>
    <x v="6"/>
  </r>
  <r>
    <s v="471-queijo mussarela mp"/>
    <x v="0"/>
    <n v="4.2"/>
    <n v="30.990100000000002"/>
    <n v="130.15842000000001"/>
    <x v="31"/>
    <x v="6"/>
  </r>
  <r>
    <s v="471-queijo mussarela mp"/>
    <x v="0"/>
    <n v="3"/>
    <n v="30.990100000000002"/>
    <n v="92.970300000000009"/>
    <x v="31"/>
    <x v="6"/>
  </r>
  <r>
    <s v="475-camarao mp"/>
    <x v="0"/>
    <n v="4.9000000000000004"/>
    <n v="33"/>
    <n v="161.70000000000002"/>
    <x v="32"/>
    <x v="7"/>
  </r>
  <r>
    <s v="475-camarao mp"/>
    <x v="0"/>
    <n v="4.3"/>
    <n v="33"/>
    <n v="141.9"/>
    <x v="32"/>
    <x v="7"/>
  </r>
  <r>
    <s v="475-camarao mp"/>
    <x v="0"/>
    <n v="6.2"/>
    <n v="33"/>
    <n v="204.6"/>
    <x v="32"/>
    <x v="7"/>
  </r>
  <r>
    <s v="475-camarao mp"/>
    <x v="0"/>
    <n v="4.5999999999999996"/>
    <n v="33"/>
    <n v="151.79999999999998"/>
    <x v="32"/>
    <x v="7"/>
  </r>
  <r>
    <s v="475-camarao mp"/>
    <x v="0"/>
    <n v="5.9"/>
    <n v="33"/>
    <n v="194.70000000000002"/>
    <x v="32"/>
    <x v="7"/>
  </r>
  <r>
    <s v="475-camarao mp"/>
    <x v="0"/>
    <n v="4.2"/>
    <n v="33"/>
    <n v="138.6"/>
    <x v="32"/>
    <x v="7"/>
  </r>
  <r>
    <s v="478-arroz parboilizado mp"/>
    <x v="0"/>
    <n v="30"/>
    <n v="3.9"/>
    <n v="117"/>
    <x v="33"/>
    <x v="8"/>
  </r>
  <r>
    <s v="478-arroz parboilizado mp"/>
    <x v="0"/>
    <n v="20"/>
    <n v="3.9"/>
    <n v="78"/>
    <x v="33"/>
    <x v="8"/>
  </r>
  <r>
    <s v="478-arroz parboilizado mp"/>
    <x v="0"/>
    <n v="20"/>
    <n v="3.9"/>
    <n v="78"/>
    <x v="33"/>
    <x v="8"/>
  </r>
  <r>
    <s v="478-arroz parboilizado mp"/>
    <x v="0"/>
    <n v="40"/>
    <n v="3.75"/>
    <n v="150"/>
    <x v="33"/>
    <x v="8"/>
  </r>
  <r>
    <s v="480-creme culinario mp"/>
    <x v="0"/>
    <n v="6"/>
    <n v="12.4071"/>
    <n v="74.442599999999999"/>
    <x v="34"/>
    <x v="8"/>
  </r>
  <r>
    <s v="480-creme culinario mp"/>
    <x v="0"/>
    <n v="4"/>
    <n v="12.4071"/>
    <n v="49.628399999999999"/>
    <x v="34"/>
    <x v="8"/>
  </r>
  <r>
    <s v="480-creme culinario mp"/>
    <x v="0"/>
    <n v="2"/>
    <n v="12.4071"/>
    <n v="24.8142"/>
    <x v="34"/>
    <x v="8"/>
  </r>
  <r>
    <s v="480-creme culinario mp"/>
    <x v="0"/>
    <n v="2"/>
    <n v="12.4071"/>
    <n v="24.8142"/>
    <x v="34"/>
    <x v="8"/>
  </r>
  <r>
    <s v="480-creme culinario mp"/>
    <x v="0"/>
    <n v="2"/>
    <n v="13.09"/>
    <n v="26.18"/>
    <x v="34"/>
    <x v="8"/>
  </r>
  <r>
    <s v="480-creme culinario mp"/>
    <x v="0"/>
    <n v="3"/>
    <n v="13.09"/>
    <n v="39.269999999999996"/>
    <x v="34"/>
    <x v="8"/>
  </r>
  <r>
    <s v="480-creme culinario mp"/>
    <x v="0"/>
    <n v="4"/>
    <n v="14.001099999999999"/>
    <n v="56.004399999999997"/>
    <x v="34"/>
    <x v="8"/>
  </r>
  <r>
    <s v="484-farinha de rosca mp"/>
    <x v="0"/>
    <n v="9"/>
    <n v="7"/>
    <n v="63"/>
    <x v="35"/>
    <x v="8"/>
  </r>
  <r>
    <s v="484-farinha de rosca mp"/>
    <x v="0"/>
    <n v="4"/>
    <n v="7"/>
    <n v="28"/>
    <x v="35"/>
    <x v="8"/>
  </r>
  <r>
    <s v="484-farinha de rosca mp"/>
    <x v="0"/>
    <n v="9.25"/>
    <n v="7"/>
    <n v="64.75"/>
    <x v="35"/>
    <x v="8"/>
  </r>
  <r>
    <s v="484-farinha de rosca mp"/>
    <x v="0"/>
    <n v="4.5199999999999996"/>
    <n v="7"/>
    <n v="31.639999999999997"/>
    <x v="35"/>
    <x v="8"/>
  </r>
  <r>
    <s v="484-farinha de rosca mp"/>
    <x v="0"/>
    <n v="10.9"/>
    <n v="7"/>
    <n v="76.3"/>
    <x v="35"/>
    <x v="8"/>
  </r>
  <r>
    <s v="484-farinha de rosca mp"/>
    <x v="0"/>
    <n v="4"/>
    <n v="7"/>
    <n v="28"/>
    <x v="35"/>
    <x v="8"/>
  </r>
  <r>
    <s v="485-farinha de trigo mp"/>
    <x v="0"/>
    <n v="10"/>
    <n v="4"/>
    <n v="40"/>
    <x v="36"/>
    <x v="8"/>
  </r>
  <r>
    <s v="486-feijao branco mp"/>
    <x v="0"/>
    <n v="12.3"/>
    <n v="6.5"/>
    <n v="79.95"/>
    <x v="37"/>
    <x v="8"/>
  </r>
  <r>
    <s v="486-feijao branco mp"/>
    <x v="0"/>
    <n v="20"/>
    <n v="6.5"/>
    <n v="130"/>
    <x v="37"/>
    <x v="8"/>
  </r>
  <r>
    <s v="490-ketchup mp"/>
    <x v="0"/>
    <n v="3.3"/>
    <n v="6.8707000000000003"/>
    <n v="22.673310000000001"/>
    <x v="38"/>
    <x v="8"/>
  </r>
  <r>
    <s v="492-macarrao espaguete mp"/>
    <x v="3"/>
    <n v="2"/>
    <n v="41.86"/>
    <n v="83.72"/>
    <x v="39"/>
    <x v="8"/>
  </r>
  <r>
    <s v="492-macarrao espaguete mp"/>
    <x v="4"/>
    <n v="28"/>
    <n v="2.99"/>
    <n v="83.72"/>
    <x v="39"/>
    <x v="8"/>
  </r>
  <r>
    <s v="492-macarrao espaguete mp"/>
    <x v="4"/>
    <n v="14"/>
    <n v="2.99"/>
    <n v="41.86"/>
    <x v="39"/>
    <x v="8"/>
  </r>
  <r>
    <s v="493-maionese mp"/>
    <x v="0"/>
    <n v="16.8"/>
    <n v="10.6678"/>
    <n v="179.21904000000001"/>
    <x v="40"/>
    <x v="8"/>
  </r>
  <r>
    <s v="493-maionese mp"/>
    <x v="0"/>
    <n v="35.6"/>
    <n v="10.6678"/>
    <n v="379.77368000000001"/>
    <x v="40"/>
    <x v="8"/>
  </r>
  <r>
    <s v="493-maionese mp"/>
    <x v="0"/>
    <n v="16.8"/>
    <n v="10.774699999999999"/>
    <n v="181.01496"/>
    <x v="40"/>
    <x v="8"/>
  </r>
  <r>
    <s v="493-maionese mp"/>
    <x v="0"/>
    <n v="33.6"/>
    <n v="10.774699999999999"/>
    <n v="362.02992"/>
    <x v="40"/>
    <x v="8"/>
  </r>
  <r>
    <s v="493-maionese mp"/>
    <x v="0"/>
    <n v="16.8"/>
    <n v="10.774699999999999"/>
    <n v="181.01496"/>
    <x v="40"/>
    <x v="8"/>
  </r>
  <r>
    <s v="493-maionese mp"/>
    <x v="0"/>
    <n v="16.8"/>
    <n v="10.774699999999999"/>
    <n v="181.01496"/>
    <x v="40"/>
    <x v="8"/>
  </r>
  <r>
    <s v="499-sal refinado mp"/>
    <x v="0"/>
    <n v="10"/>
    <n v="0.67"/>
    <n v="6.7"/>
    <x v="41"/>
    <x v="8"/>
  </r>
  <r>
    <s v="499-sal refinado mp"/>
    <x v="0"/>
    <n v="13"/>
    <n v="0.67"/>
    <n v="8.7100000000000009"/>
    <x v="41"/>
    <x v="8"/>
  </r>
  <r>
    <s v="499-sal refinado mp"/>
    <x v="0"/>
    <n v="7"/>
    <n v="0.67"/>
    <n v="4.6900000000000004"/>
    <x v="41"/>
    <x v="8"/>
  </r>
  <r>
    <s v="499-sal refinado mp"/>
    <x v="0"/>
    <n v="5"/>
    <n v="0.67"/>
    <n v="3.35"/>
    <x v="41"/>
    <x v="8"/>
  </r>
  <r>
    <s v="500-vinagre mp"/>
    <x v="5"/>
    <n v="12"/>
    <n v="1.46"/>
    <n v="17.52"/>
    <x v="42"/>
    <x v="8"/>
  </r>
  <r>
    <s v="501-bacon mp"/>
    <x v="0"/>
    <n v="10.4"/>
    <n v="23.151399999999999"/>
    <n v="240.77456000000001"/>
    <x v="43"/>
    <x v="9"/>
  </r>
  <r>
    <s v="501-bacon mp"/>
    <x v="0"/>
    <n v="12"/>
    <n v="24.191400000000002"/>
    <n v="290.29680000000002"/>
    <x v="43"/>
    <x v="9"/>
  </r>
  <r>
    <s v="502-carne suina mp"/>
    <x v="0"/>
    <n v="29"/>
    <n v="16.5701"/>
    <n v="480.53289999999998"/>
    <x v="44"/>
    <x v="9"/>
  </r>
  <r>
    <s v="502-carne suina mp"/>
    <x v="0"/>
    <n v="17"/>
    <n v="16.5701"/>
    <n v="281.69170000000003"/>
    <x v="44"/>
    <x v="9"/>
  </r>
  <r>
    <s v="502-carne suina mp"/>
    <x v="0"/>
    <n v="28"/>
    <n v="16.5701"/>
    <n v="463.96280000000002"/>
    <x v="44"/>
    <x v="9"/>
  </r>
  <r>
    <s v="502-carne suina mp"/>
    <x v="0"/>
    <n v="6.8"/>
    <n v="16.5701"/>
    <n v="112.67667999999999"/>
    <x v="44"/>
    <x v="9"/>
  </r>
  <r>
    <s v="502-carne suina mp"/>
    <x v="0"/>
    <n v="24"/>
    <n v="16.5701"/>
    <n v="397.68240000000003"/>
    <x v="44"/>
    <x v="9"/>
  </r>
  <r>
    <s v="502-carne suina mp"/>
    <x v="0"/>
    <n v="14"/>
    <n v="16.5701"/>
    <n v="231.98140000000001"/>
    <x v="44"/>
    <x v="9"/>
  </r>
  <r>
    <s v="502-carne suina mp"/>
    <x v="0"/>
    <n v="19"/>
    <n v="16.5701"/>
    <n v="314.83190000000002"/>
    <x v="44"/>
    <x v="9"/>
  </r>
  <r>
    <s v="502-carne suina mp"/>
    <x v="0"/>
    <n v="19.8"/>
    <n v="16.5701"/>
    <n v="328.08798000000002"/>
    <x v="44"/>
    <x v="9"/>
  </r>
  <r>
    <s v="502-carne suina mp"/>
    <x v="0"/>
    <n v="34"/>
    <n v="16.5701"/>
    <n v="563.38340000000005"/>
    <x v="44"/>
    <x v="9"/>
  </r>
  <r>
    <s v="502-carne suina mp"/>
    <x v="0"/>
    <n v="8"/>
    <n v="16.5701"/>
    <n v="132.5608"/>
    <x v="44"/>
    <x v="9"/>
  </r>
  <r>
    <s v="502-carne suina mp"/>
    <x v="0"/>
    <n v="8.5"/>
    <n v="16.5701"/>
    <n v="140.84585000000001"/>
    <x v="44"/>
    <x v="9"/>
  </r>
  <r>
    <s v="502-carne suina mp"/>
    <x v="0"/>
    <n v="19.5"/>
    <n v="16.5701"/>
    <n v="323.11694999999997"/>
    <x v="44"/>
    <x v="9"/>
  </r>
  <r>
    <s v="502-carne suina mp"/>
    <x v="0"/>
    <n v="42"/>
    <n v="16.5701"/>
    <n v="695.94420000000002"/>
    <x v="44"/>
    <x v="9"/>
  </r>
  <r>
    <s v="504-costela suina mp"/>
    <x v="0"/>
    <n v="3.4"/>
    <n v="19.510000000000002"/>
    <n v="66.334000000000003"/>
    <x v="45"/>
    <x v="9"/>
  </r>
  <r>
    <s v="504-costela suina mp"/>
    <x v="0"/>
    <n v="5"/>
    <n v="19.510000000000002"/>
    <n v="97.550000000000011"/>
    <x v="45"/>
    <x v="9"/>
  </r>
  <r>
    <s v="504-costela suina mp"/>
    <x v="0"/>
    <n v="17"/>
    <n v="19.510000000000002"/>
    <n v="331.67"/>
    <x v="45"/>
    <x v="9"/>
  </r>
  <r>
    <s v="504-costela suina mp"/>
    <x v="0"/>
    <n v="8.15"/>
    <n v="19.510000000000002"/>
    <n v="159.00650000000002"/>
    <x v="45"/>
    <x v="9"/>
  </r>
  <r>
    <s v="506-amaciante de carne mp"/>
    <x v="0"/>
    <n v="2.2000000000000002"/>
    <n v="30.122699999999998"/>
    <n v="66.269940000000005"/>
    <x v="46"/>
    <x v="10"/>
  </r>
  <r>
    <s v="516-cafe em po mp"/>
    <x v="6"/>
    <n v="8"/>
    <n v="11.163"/>
    <n v="89.304000000000002"/>
    <x v="47"/>
    <x v="11"/>
  </r>
  <r>
    <s v="516-cafe em po mp"/>
    <x v="6"/>
    <n v="7"/>
    <n v="11.163"/>
    <n v="78.141000000000005"/>
    <x v="47"/>
    <x v="11"/>
  </r>
  <r>
    <s v="519-oleo de soja"/>
    <x v="7"/>
    <n v="18"/>
    <n v="7.49"/>
    <n v="134.82"/>
    <x v="48"/>
    <x v="12"/>
  </r>
  <r>
    <s v="519-oleo de soja"/>
    <x v="7"/>
    <n v="24"/>
    <n v="7.49"/>
    <n v="179.76"/>
    <x v="48"/>
    <x v="12"/>
  </r>
  <r>
    <s v="519-oleo de soja"/>
    <x v="7"/>
    <n v="60"/>
    <n v="7.49"/>
    <n v="449.40000000000003"/>
    <x v="48"/>
    <x v="12"/>
  </r>
  <r>
    <s v="526-prep polpa maracuja com sement"/>
    <x v="0"/>
    <n v="6"/>
    <n v="25"/>
    <n v="150"/>
    <x v="49"/>
    <x v="13"/>
  </r>
  <r>
    <s v="526-prep polpa maracuja com sement"/>
    <x v="0"/>
    <n v="2"/>
    <n v="25"/>
    <n v="50"/>
    <x v="49"/>
    <x v="13"/>
  </r>
  <r>
    <s v="526-prep polpa maracuja com sement"/>
    <x v="0"/>
    <n v="4"/>
    <n v="25"/>
    <n v="100"/>
    <x v="49"/>
    <x v="13"/>
  </r>
  <r>
    <s v="526-prep polpa maracuja com sement"/>
    <x v="0"/>
    <n v="4"/>
    <n v="25"/>
    <n v="100"/>
    <x v="49"/>
    <x v="13"/>
  </r>
  <r>
    <s v="526-prep polpa maracuja com sement"/>
    <x v="0"/>
    <n v="4"/>
    <n v="25"/>
    <n v="100"/>
    <x v="49"/>
    <x v="13"/>
  </r>
  <r>
    <s v="526-prep polpa maracuja com sement"/>
    <x v="0"/>
    <n v="4"/>
    <n v="25"/>
    <n v="100"/>
    <x v="49"/>
    <x v="13"/>
  </r>
  <r>
    <s v="526-prep polpa maracuja com sement"/>
    <x v="0"/>
    <n v="4"/>
    <n v="25"/>
    <n v="100"/>
    <x v="49"/>
    <x v="13"/>
  </r>
  <r>
    <s v="526-prep polpa maracuja com sement"/>
    <x v="0"/>
    <n v="6"/>
    <n v="25"/>
    <n v="150"/>
    <x v="49"/>
    <x v="13"/>
  </r>
  <r>
    <s v="532-prep batata palha frita"/>
    <x v="0"/>
    <n v="2.7"/>
    <n v="10.7"/>
    <n v="28.89"/>
    <x v="50"/>
    <x v="14"/>
  </r>
  <r>
    <s v="53-HEINEKEN 600ML"/>
    <x v="1"/>
    <n v="96"/>
    <n v="9.5832999999999995"/>
    <n v="919.99679999999989"/>
    <x v="51"/>
    <x v="15"/>
  </r>
  <r>
    <s v="546-prep fraldinha moida"/>
    <x v="0"/>
    <n v="1.4"/>
    <n v="12"/>
    <n v="16.799999999999997"/>
    <x v="52"/>
    <x v="14"/>
  </r>
  <r>
    <s v="546-prep fraldinha moida"/>
    <x v="0"/>
    <n v="2.15"/>
    <n v="15"/>
    <n v="32.25"/>
    <x v="52"/>
    <x v="14"/>
  </r>
  <r>
    <s v="549-prep massa fettuccine"/>
    <x v="0"/>
    <n v="3"/>
    <n v="3.6404000000000001"/>
    <n v="10.921200000000001"/>
    <x v="53"/>
    <x v="14"/>
  </r>
  <r>
    <s v="549-prep massa fettuccine"/>
    <x v="0"/>
    <n v="3.4"/>
    <n v="3.6606000000000001"/>
    <n v="12.44604"/>
    <x v="53"/>
    <x v="14"/>
  </r>
  <r>
    <s v="549-prep massa fettuccine"/>
    <x v="0"/>
    <n v="2.78"/>
    <n v="3.6606000000000001"/>
    <n v="10.176468"/>
    <x v="53"/>
    <x v="14"/>
  </r>
  <r>
    <s v="54-HEINEKEN LN 330ML"/>
    <x v="1"/>
    <n v="96"/>
    <n v="6.4583000000000004"/>
    <n v="619.99680000000001"/>
    <x v="54"/>
    <x v="15"/>
  </r>
  <r>
    <s v="552-prep molho madeira"/>
    <x v="2"/>
    <n v="8"/>
    <n v="6.4570999999999996"/>
    <n v="51.656799999999997"/>
    <x v="55"/>
    <x v="14"/>
  </r>
  <r>
    <s v="552-prep molho madeira"/>
    <x v="2"/>
    <n v="5"/>
    <n v="6.4602000000000004"/>
    <n v="32.301000000000002"/>
    <x v="55"/>
    <x v="14"/>
  </r>
  <r>
    <s v="552-prep molho madeira"/>
    <x v="2"/>
    <n v="7.5"/>
    <n v="6.4505999999999997"/>
    <n v="48.3795"/>
    <x v="55"/>
    <x v="14"/>
  </r>
  <r>
    <s v="552-prep molho madeira"/>
    <x v="2"/>
    <n v="4"/>
    <n v="6.4505999999999997"/>
    <n v="25.802399999999999"/>
    <x v="55"/>
    <x v="14"/>
  </r>
  <r>
    <s v="552-prep molho madeira"/>
    <x v="2"/>
    <n v="6"/>
    <n v="6.4505999999999997"/>
    <n v="38.703599999999994"/>
    <x v="55"/>
    <x v="14"/>
  </r>
  <r>
    <s v="555-prep oleo de porco"/>
    <x v="2"/>
    <n v="10"/>
    <n v="4"/>
    <n v="40"/>
    <x v="56"/>
    <x v="14"/>
  </r>
  <r>
    <s v="568-tilapia limpa mp"/>
    <x v="0"/>
    <n v="18.600000000000001"/>
    <n v="17"/>
    <n v="316.20000000000005"/>
    <x v="57"/>
    <x v="7"/>
  </r>
  <r>
    <s v="568-tilapia limpa mp"/>
    <x v="0"/>
    <n v="16.350000000000001"/>
    <n v="17"/>
    <n v="277.95000000000005"/>
    <x v="57"/>
    <x v="7"/>
  </r>
  <r>
    <s v="568-tilapia limpa mp"/>
    <x v="0"/>
    <n v="19.649999999999999"/>
    <n v="17"/>
    <n v="334.04999999999995"/>
    <x v="57"/>
    <x v="7"/>
  </r>
  <r>
    <s v="568-tilapia limpa mp"/>
    <x v="0"/>
    <n v="18"/>
    <n v="17"/>
    <n v="306"/>
    <x v="57"/>
    <x v="7"/>
  </r>
  <r>
    <s v="568-tilapia limpa mp"/>
    <x v="0"/>
    <n v="18"/>
    <n v="17"/>
    <n v="306"/>
    <x v="57"/>
    <x v="7"/>
  </r>
  <r>
    <s v="568-tilapia limpa mp"/>
    <x v="0"/>
    <n v="19"/>
    <n v="17"/>
    <n v="323"/>
    <x v="57"/>
    <x v="7"/>
  </r>
  <r>
    <s v="568-tilapia limpa mp"/>
    <x v="0"/>
    <n v="24.65"/>
    <n v="17"/>
    <n v="419.04999999999995"/>
    <x v="57"/>
    <x v="7"/>
  </r>
  <r>
    <s v="568-tilapia limpa mp"/>
    <x v="0"/>
    <n v="18"/>
    <n v="17"/>
    <n v="306"/>
    <x v="57"/>
    <x v="7"/>
  </r>
  <r>
    <s v="568-tilapia limpa mp"/>
    <x v="0"/>
    <n v="20.6"/>
    <n v="17"/>
    <n v="350.20000000000005"/>
    <x v="57"/>
    <x v="7"/>
  </r>
  <r>
    <s v="568-tilapia limpa mp"/>
    <x v="0"/>
    <n v="16"/>
    <n v="17"/>
    <n v="272"/>
    <x v="57"/>
    <x v="7"/>
  </r>
  <r>
    <s v="568-tilapia limpa mp"/>
    <x v="0"/>
    <n v="18.350000000000001"/>
    <n v="17"/>
    <n v="311.95000000000005"/>
    <x v="57"/>
    <x v="7"/>
  </r>
  <r>
    <s v="568-tilapia limpa mp"/>
    <x v="0"/>
    <n v="19"/>
    <n v="17"/>
    <n v="323"/>
    <x v="57"/>
    <x v="7"/>
  </r>
  <r>
    <s v="568-tilapia limpa mp"/>
    <x v="0"/>
    <n v="18"/>
    <n v="17"/>
    <n v="306"/>
    <x v="57"/>
    <x v="7"/>
  </r>
  <r>
    <s v="568-tilapia limpa mp"/>
    <x v="0"/>
    <n v="22.3"/>
    <n v="17"/>
    <n v="379.1"/>
    <x v="57"/>
    <x v="7"/>
  </r>
  <r>
    <s v="568-tilapia limpa mp"/>
    <x v="0"/>
    <n v="22.75"/>
    <n v="17"/>
    <n v="386.75"/>
    <x v="57"/>
    <x v="7"/>
  </r>
  <r>
    <s v="568-tilapia limpa mp"/>
    <x v="0"/>
    <n v="26"/>
    <n v="17"/>
    <n v="442"/>
    <x v="57"/>
    <x v="7"/>
  </r>
  <r>
    <s v="568-tilapia limpa mp"/>
    <x v="0"/>
    <n v="28"/>
    <n v="17"/>
    <n v="476"/>
    <x v="57"/>
    <x v="7"/>
  </r>
  <r>
    <s v="568-tilapia limpa mp"/>
    <x v="0"/>
    <n v="11.8"/>
    <n v="17"/>
    <n v="200.60000000000002"/>
    <x v="57"/>
    <x v="7"/>
  </r>
  <r>
    <s v="568-tilapia limpa mp"/>
    <x v="0"/>
    <n v="15.5"/>
    <n v="17"/>
    <n v="263.5"/>
    <x v="57"/>
    <x v="7"/>
  </r>
  <r>
    <s v="588-agua sanitaria"/>
    <x v="2"/>
    <n v="12"/>
    <n v="1.54"/>
    <n v="18.48"/>
    <x v="58"/>
    <x v="16"/>
  </r>
  <r>
    <s v="593-detergente liquido"/>
    <x v="5"/>
    <n v="24"/>
    <n v="2.06"/>
    <n v="49.44"/>
    <x v="59"/>
    <x v="16"/>
  </r>
  <r>
    <s v="609-prep aipim limpo e cozido"/>
    <x v="0"/>
    <n v="6"/>
    <n v="6"/>
    <n v="36"/>
    <x v="60"/>
    <x v="14"/>
  </r>
  <r>
    <s v="609-prep aipim limpo e cozido"/>
    <x v="0"/>
    <n v="6.8"/>
    <n v="4"/>
    <n v="27.2"/>
    <x v="60"/>
    <x v="14"/>
  </r>
  <r>
    <s v="609-prep aipim limpo e cozido"/>
    <x v="0"/>
    <n v="7"/>
    <n v="4"/>
    <n v="28"/>
    <x v="60"/>
    <x v="14"/>
  </r>
  <r>
    <s v="610-prep brocolis limpo e cozido"/>
    <x v="0"/>
    <n v="4.2"/>
    <n v="9.2658000000000005"/>
    <n v="38.916360000000005"/>
    <x v="61"/>
    <x v="14"/>
  </r>
  <r>
    <s v="610-prep brocolis limpo e cozido"/>
    <x v="0"/>
    <n v="6.5"/>
    <n v="9.2658000000000005"/>
    <n v="60.227700000000006"/>
    <x v="61"/>
    <x v="14"/>
  </r>
  <r>
    <s v="610-prep brocolis limpo e cozido"/>
    <x v="0"/>
    <n v="4.5"/>
    <n v="9.2658000000000005"/>
    <n v="41.696100000000001"/>
    <x v="61"/>
    <x v="14"/>
  </r>
  <r>
    <s v="610-prep brocolis limpo e cozido"/>
    <x v="0"/>
    <n v="3.7"/>
    <n v="9.2658000000000005"/>
    <n v="34.283460000000005"/>
    <x v="61"/>
    <x v="14"/>
  </r>
  <r>
    <s v="629-aperitivo campari mp"/>
    <x v="2"/>
    <n v="2"/>
    <n v="58.333300000000001"/>
    <n v="116.6666"/>
    <x v="62"/>
    <x v="17"/>
  </r>
  <r>
    <s v="629-aperitivo campari mp"/>
    <x v="2"/>
    <n v="1"/>
    <n v="58.333300000000001"/>
    <n v="58.333300000000001"/>
    <x v="62"/>
    <x v="17"/>
  </r>
  <r>
    <s v="629-aperitivo campari mp"/>
    <x v="2"/>
    <n v="2"/>
    <n v="58.333300000000001"/>
    <n v="116.6666"/>
    <x v="62"/>
    <x v="17"/>
  </r>
  <r>
    <s v="629-aperitivo campari mp"/>
    <x v="8"/>
    <n v="2"/>
    <n v="58.2166"/>
    <n v="116.4332"/>
    <x v="62"/>
    <x v="17"/>
  </r>
  <r>
    <s v="634-cachaca ypioca empalhada mp"/>
    <x v="9"/>
    <n v="1"/>
    <n v="37.316600000000001"/>
    <n v="37.316600000000001"/>
    <x v="63"/>
    <x v="18"/>
  </r>
  <r>
    <s v="635-cachaca ypioca ouro mp"/>
    <x v="9"/>
    <n v="1"/>
    <n v="16.405000000000001"/>
    <n v="16.405000000000001"/>
    <x v="64"/>
    <x v="18"/>
  </r>
  <r>
    <s v="635-cachaca ypioca ouro mp"/>
    <x v="9"/>
    <n v="1"/>
    <n v="16.405000000000001"/>
    <n v="16.405000000000001"/>
    <x v="64"/>
    <x v="18"/>
  </r>
  <r>
    <s v="658-vodka smirnoff mp"/>
    <x v="2"/>
    <n v="1"/>
    <n v="35.5"/>
    <n v="35.5"/>
    <x v="65"/>
    <x v="19"/>
  </r>
  <r>
    <s v="658-vodka smirnoff mp"/>
    <x v="2"/>
    <n v="2"/>
    <n v="35.5"/>
    <n v="71"/>
    <x v="65"/>
    <x v="19"/>
  </r>
  <r>
    <s v="661-whisky black white mp"/>
    <x v="2"/>
    <n v="1"/>
    <n v="64.67"/>
    <n v="64.67"/>
    <x v="66"/>
    <x v="20"/>
  </r>
  <r>
    <s v="666-whisky old parr mp"/>
    <x v="2"/>
    <n v="1"/>
    <n v="132.5"/>
    <n v="132.5"/>
    <x v="67"/>
    <x v="20"/>
  </r>
  <r>
    <s v="666-whisky old parr mp"/>
    <x v="2"/>
    <n v="1"/>
    <n v="132.5"/>
    <n v="132.5"/>
    <x v="67"/>
    <x v="20"/>
  </r>
  <r>
    <s v="666-whisky old parr mp"/>
    <x v="2"/>
    <n v="1"/>
    <n v="132.5"/>
    <n v="132.5"/>
    <x v="67"/>
    <x v="20"/>
  </r>
  <r>
    <s v="667-whisky red label mp"/>
    <x v="2"/>
    <n v="2"/>
    <n v="87.5"/>
    <n v="175"/>
    <x v="68"/>
    <x v="20"/>
  </r>
  <r>
    <s v="688-prep farofa"/>
    <x v="0"/>
    <n v="4.3"/>
    <n v="4.9016000000000002"/>
    <n v="21.076879999999999"/>
    <x v="69"/>
    <x v="14"/>
  </r>
  <r>
    <s v="688-prep farofa"/>
    <x v="0"/>
    <n v="6.15"/>
    <n v="4.9016000000000002"/>
    <n v="30.144840000000002"/>
    <x v="69"/>
    <x v="14"/>
  </r>
  <r>
    <s v="688-prep farofa"/>
    <x v="0"/>
    <n v="7.4"/>
    <n v="4.9016000000000002"/>
    <n v="36.271840000000005"/>
    <x v="69"/>
    <x v="14"/>
  </r>
  <r>
    <s v="688-prep farofa"/>
    <x v="0"/>
    <n v="7"/>
    <n v="4.9016000000000002"/>
    <n v="34.311199999999999"/>
    <x v="69"/>
    <x v="14"/>
  </r>
  <r>
    <s v="688-prep farofa"/>
    <x v="0"/>
    <n v="5.35"/>
    <n v="4.9016000000000002"/>
    <n v="26.223559999999999"/>
    <x v="69"/>
    <x v="14"/>
  </r>
  <r>
    <s v="688-prep farofa"/>
    <x v="0"/>
    <n v="3.8"/>
    <n v="4.9016000000000002"/>
    <n v="18.626079999999998"/>
    <x v="69"/>
    <x v="14"/>
  </r>
  <r>
    <s v="688-prep farofa"/>
    <x v="0"/>
    <n v="5.5"/>
    <n v="4.9016000000000002"/>
    <n v="26.9588"/>
    <x v="69"/>
    <x v="14"/>
  </r>
  <r>
    <s v="688-prep farofa"/>
    <x v="0"/>
    <n v="3.8"/>
    <n v="4.9016000000000002"/>
    <n v="18.626079999999998"/>
    <x v="69"/>
    <x v="14"/>
  </r>
  <r>
    <s v="688-prep farofa"/>
    <x v="0"/>
    <n v="6.6"/>
    <n v="4.9016000000000002"/>
    <n v="32.350560000000002"/>
    <x v="69"/>
    <x v="14"/>
  </r>
  <r>
    <s v="688-prep farofa"/>
    <x v="0"/>
    <n v="3.7"/>
    <n v="4.9016000000000002"/>
    <n v="18.135920000000002"/>
    <x v="69"/>
    <x v="14"/>
  </r>
  <r>
    <s v="688-prep farofa"/>
    <x v="0"/>
    <n v="4.45"/>
    <n v="4.9016000000000002"/>
    <n v="21.81212"/>
    <x v="69"/>
    <x v="14"/>
  </r>
  <r>
    <s v="688-prep farofa"/>
    <x v="0"/>
    <n v="5.3"/>
    <n v="4.9016000000000002"/>
    <n v="25.978480000000001"/>
    <x v="69"/>
    <x v="14"/>
  </r>
  <r>
    <s v="688-prep farofa"/>
    <x v="0"/>
    <n v="3.7"/>
    <n v="4.9016000000000002"/>
    <n v="18.135920000000002"/>
    <x v="69"/>
    <x v="14"/>
  </r>
  <r>
    <s v="736-vinho pergola mp"/>
    <x v="2"/>
    <n v="2"/>
    <n v="22.08"/>
    <n v="44.16"/>
    <x v="70"/>
    <x v="21"/>
  </r>
  <r>
    <s v="755-costela bovina mp"/>
    <x v="0"/>
    <n v="15"/>
    <n v="19.5"/>
    <n v="292.5"/>
    <x v="71"/>
    <x v="0"/>
  </r>
  <r>
    <s v="755-costela bovina mp"/>
    <x v="0"/>
    <n v="5.9"/>
    <n v="19.5"/>
    <n v="115.05000000000001"/>
    <x v="7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7">
  <r>
    <s v="21-CAJUINA SAO GERALDO 1L"/>
    <x v="0"/>
    <n v="12"/>
    <n v="6.6666999999999996"/>
    <n v="80.000399999999999"/>
    <x v="0"/>
    <x v="0"/>
  </r>
  <r>
    <s v="28-COCA-COLA KS 290ML"/>
    <x v="0"/>
    <n v="24"/>
    <n v="2.6442000000000001"/>
    <n v="63.460800000000006"/>
    <x v="1"/>
    <x v="0"/>
  </r>
  <r>
    <s v="293-MOUSSE DE MARACUJA"/>
    <x v="0"/>
    <n v="10"/>
    <n v="6"/>
    <n v="60"/>
    <x v="2"/>
    <x v="1"/>
  </r>
  <r>
    <s v="296-PUDIM DE LEITE CONDENSADO"/>
    <x v="0"/>
    <n v="6"/>
    <n v="9"/>
    <n v="54"/>
    <x v="3"/>
    <x v="2"/>
  </r>
  <r>
    <s v="318-QUENTINHA DE ISOPOR"/>
    <x v="1"/>
    <n v="1"/>
    <n v="0.32"/>
    <n v="0.32"/>
    <x v="4"/>
    <x v="3"/>
  </r>
  <r>
    <s v="318-QUENTINHA DE ISOPOR"/>
    <x v="1"/>
    <n v="2"/>
    <n v="0.32"/>
    <n v="0.64"/>
    <x v="4"/>
    <x v="3"/>
  </r>
  <r>
    <s v="429-carne de sol mp"/>
    <x v="2"/>
    <n v="2"/>
    <n v="46.906700000000001"/>
    <n v="93.813400000000001"/>
    <x v="5"/>
    <x v="4"/>
  </r>
  <r>
    <s v="430-contra file mp"/>
    <x v="2"/>
    <n v="14.4"/>
    <n v="42.89"/>
    <n v="617.61599999999999"/>
    <x v="6"/>
    <x v="4"/>
  </r>
  <r>
    <s v="430-contra file mp"/>
    <x v="2"/>
    <n v="19.600000000000001"/>
    <n v="42.89"/>
    <n v="840.64400000000012"/>
    <x v="6"/>
    <x v="4"/>
  </r>
  <r>
    <s v="430-contra file mp"/>
    <x v="2"/>
    <n v="10.25"/>
    <n v="42.89"/>
    <n v="439.6225"/>
    <x v="6"/>
    <x v="4"/>
  </r>
  <r>
    <s v="430-contra file mp"/>
    <x v="2"/>
    <n v="43"/>
    <n v="42.89"/>
    <n v="1844.27"/>
    <x v="6"/>
    <x v="4"/>
  </r>
  <r>
    <s v="430-contra file mp"/>
    <x v="2"/>
    <n v="21.25"/>
    <n v="42.89"/>
    <n v="911.41250000000002"/>
    <x v="6"/>
    <x v="4"/>
  </r>
  <r>
    <s v="430-contra file mp"/>
    <x v="2"/>
    <n v="22.885999999999999"/>
    <n v="42.89"/>
    <n v="981.58053999999993"/>
    <x v="6"/>
    <x v="4"/>
  </r>
  <r>
    <s v="430-contra file mp"/>
    <x v="2"/>
    <n v="22.46"/>
    <n v="41.89"/>
    <n v="940.84940000000006"/>
    <x v="6"/>
    <x v="4"/>
  </r>
  <r>
    <s v="430-contra file mp"/>
    <x v="2"/>
    <n v="24.34"/>
    <n v="41.89"/>
    <n v="1019.6026000000001"/>
    <x v="6"/>
    <x v="4"/>
  </r>
  <r>
    <s v="430-contra file mp"/>
    <x v="2"/>
    <n v="19.774000000000001"/>
    <n v="41"/>
    <n v="810.73400000000004"/>
    <x v="6"/>
    <x v="4"/>
  </r>
  <r>
    <s v="430-contra file mp"/>
    <x v="2"/>
    <n v="24.925999999999998"/>
    <n v="41"/>
    <n v="1021.9659999999999"/>
    <x v="6"/>
    <x v="4"/>
  </r>
  <r>
    <s v="430-contra file mp"/>
    <x v="2"/>
    <n v="23.64"/>
    <n v="41"/>
    <n v="969.24"/>
    <x v="6"/>
    <x v="4"/>
  </r>
  <r>
    <s v="430-contra file mp"/>
    <x v="2"/>
    <n v="21.4"/>
    <n v="39.89"/>
    <n v="853.64599999999996"/>
    <x v="6"/>
    <x v="4"/>
  </r>
  <r>
    <s v="430-contra file mp"/>
    <x v="2"/>
    <n v="25.47"/>
    <n v="39"/>
    <n v="993.32999999999993"/>
    <x v="6"/>
    <x v="4"/>
  </r>
  <r>
    <s v="432-file mignon mp"/>
    <x v="2"/>
    <n v="3.6"/>
    <n v="65"/>
    <n v="234"/>
    <x v="7"/>
    <x v="4"/>
  </r>
  <r>
    <s v="432-file mignon mp"/>
    <x v="2"/>
    <n v="4.3"/>
    <n v="64.990200000000002"/>
    <n v="279.45785999999998"/>
    <x v="7"/>
    <x v="4"/>
  </r>
  <r>
    <s v="434-picanha importada mp"/>
    <x v="2"/>
    <n v="8.5"/>
    <n v="92.170400000000001"/>
    <n v="783.44839999999999"/>
    <x v="8"/>
    <x v="4"/>
  </r>
  <r>
    <s v="434-picanha importada mp"/>
    <x v="2"/>
    <n v="2.5499999999999998"/>
    <n v="92.170400000000001"/>
    <n v="235.03451999999999"/>
    <x v="8"/>
    <x v="4"/>
  </r>
  <r>
    <s v="434-picanha importada mp"/>
    <x v="2"/>
    <n v="3.3"/>
    <n v="92.168000000000006"/>
    <n v="304.15440000000001"/>
    <x v="8"/>
    <x v="4"/>
  </r>
  <r>
    <s v="434-picanha importada mp"/>
    <x v="2"/>
    <n v="3.25"/>
    <n v="92.168000000000006"/>
    <n v="299.54600000000005"/>
    <x v="8"/>
    <x v="4"/>
  </r>
  <r>
    <s v="434-picanha importada mp"/>
    <x v="2"/>
    <n v="1.55"/>
    <n v="92.168000000000006"/>
    <n v="142.86040000000003"/>
    <x v="8"/>
    <x v="4"/>
  </r>
  <r>
    <s v="434-picanha importada mp"/>
    <x v="2"/>
    <n v="2.4"/>
    <n v="93.142700000000005"/>
    <n v="223.54248000000001"/>
    <x v="8"/>
    <x v="4"/>
  </r>
  <r>
    <s v="434-picanha importada mp"/>
    <x v="2"/>
    <n v="3.15"/>
    <n v="96.048900000000003"/>
    <n v="302.554035"/>
    <x v="8"/>
    <x v="4"/>
  </r>
  <r>
    <s v="434-picanha importada mp"/>
    <x v="2"/>
    <n v="3"/>
    <n v="92.168000000000006"/>
    <n v="276.50400000000002"/>
    <x v="8"/>
    <x v="4"/>
  </r>
  <r>
    <s v="434-picanha importada mp"/>
    <x v="2"/>
    <n v="1.85"/>
    <n v="93.364199999999997"/>
    <n v="172.72377"/>
    <x v="8"/>
    <x v="4"/>
  </r>
  <r>
    <s v="434-picanha importada mp"/>
    <x v="2"/>
    <n v="2.7"/>
    <n v="93.0899"/>
    <n v="251.34273000000002"/>
    <x v="8"/>
    <x v="4"/>
  </r>
  <r>
    <s v="434-picanha importada mp"/>
    <x v="2"/>
    <n v="4.57"/>
    <n v="93.0899"/>
    <n v="425.42084300000005"/>
    <x v="8"/>
    <x v="4"/>
  </r>
  <r>
    <s v="436-batata pre frita mp"/>
    <x v="2"/>
    <n v="12"/>
    <n v="12.9543"/>
    <n v="155.45159999999998"/>
    <x v="9"/>
    <x v="5"/>
  </r>
  <r>
    <s v="436-batata pre frita mp"/>
    <x v="2"/>
    <n v="24"/>
    <n v="12.9543"/>
    <n v="310.90319999999997"/>
    <x v="9"/>
    <x v="5"/>
  </r>
  <r>
    <s v="436-batata pre frita mp"/>
    <x v="2"/>
    <n v="12"/>
    <n v="12.9543"/>
    <n v="155.45159999999998"/>
    <x v="9"/>
    <x v="5"/>
  </r>
  <r>
    <s v="436-batata pre frita mp"/>
    <x v="2"/>
    <n v="12"/>
    <n v="12.9543"/>
    <n v="155.45159999999998"/>
    <x v="9"/>
    <x v="5"/>
  </r>
  <r>
    <s v="436-batata pre frita mp"/>
    <x v="2"/>
    <n v="12"/>
    <n v="12.9543"/>
    <n v="155.45159999999998"/>
    <x v="9"/>
    <x v="5"/>
  </r>
  <r>
    <s v="436-batata pre frita mp"/>
    <x v="2"/>
    <n v="24"/>
    <n v="12.953900000000001"/>
    <n v="310.89359999999999"/>
    <x v="9"/>
    <x v="5"/>
  </r>
  <r>
    <s v="436-batata pre frita mp"/>
    <x v="2"/>
    <n v="12"/>
    <n v="12.953900000000001"/>
    <n v="155.4468"/>
    <x v="9"/>
    <x v="5"/>
  </r>
  <r>
    <s v="436-batata pre frita mp"/>
    <x v="2"/>
    <n v="24"/>
    <n v="12.953900000000001"/>
    <n v="310.89359999999999"/>
    <x v="9"/>
    <x v="5"/>
  </r>
  <r>
    <s v="436-batata pre frita mp"/>
    <x v="2"/>
    <n v="12"/>
    <n v="12.953900000000001"/>
    <n v="155.4468"/>
    <x v="9"/>
    <x v="5"/>
  </r>
  <r>
    <s v="436-batata pre frita mp"/>
    <x v="2"/>
    <n v="14"/>
    <n v="10.596500000000001"/>
    <n v="148.351"/>
    <x v="9"/>
    <x v="5"/>
  </r>
  <r>
    <s v="436-batata pre frita mp"/>
    <x v="2"/>
    <n v="12"/>
    <n v="10.596500000000001"/>
    <n v="127.15800000000002"/>
    <x v="9"/>
    <x v="5"/>
  </r>
  <r>
    <s v="436-batata pre frita mp"/>
    <x v="2"/>
    <n v="14.7"/>
    <n v="10.199999999999999"/>
    <n v="149.93999999999997"/>
    <x v="9"/>
    <x v="5"/>
  </r>
  <r>
    <s v="436-batata pre frita mp"/>
    <x v="2"/>
    <n v="12"/>
    <n v="11.799300000000001"/>
    <n v="141.5916"/>
    <x v="9"/>
    <x v="5"/>
  </r>
  <r>
    <s v="436-batata pre frita mp"/>
    <x v="2"/>
    <n v="14"/>
    <n v="11.799300000000001"/>
    <n v="165.1902"/>
    <x v="9"/>
    <x v="5"/>
  </r>
  <r>
    <s v="436-batata pre frita mp"/>
    <x v="2"/>
    <n v="12"/>
    <n v="11.799300000000001"/>
    <n v="141.5916"/>
    <x v="9"/>
    <x v="5"/>
  </r>
  <r>
    <s v="436-batata pre frita mp"/>
    <x v="2"/>
    <n v="14"/>
    <n v="11.799300000000001"/>
    <n v="165.1902"/>
    <x v="9"/>
    <x v="5"/>
  </r>
  <r>
    <s v="440-lanche apresuntado mp"/>
    <x v="2"/>
    <n v="5"/>
    <n v="6.99"/>
    <n v="34.950000000000003"/>
    <x v="10"/>
    <x v="6"/>
  </r>
  <r>
    <s v="440-lanche apresuntado mp"/>
    <x v="2"/>
    <n v="7.25"/>
    <n v="6.99"/>
    <n v="50.677500000000002"/>
    <x v="10"/>
    <x v="6"/>
  </r>
  <r>
    <s v="440-lanche apresuntado mp"/>
    <x v="2"/>
    <n v="5.05"/>
    <n v="7.19"/>
    <n v="36.3095"/>
    <x v="10"/>
    <x v="6"/>
  </r>
  <r>
    <s v="440-lanche apresuntado mp"/>
    <x v="2"/>
    <n v="5"/>
    <n v="7.19"/>
    <n v="35.950000000000003"/>
    <x v="10"/>
    <x v="6"/>
  </r>
  <r>
    <s v="440-lanche apresuntado mp"/>
    <x v="2"/>
    <n v="7.05"/>
    <n v="7.19"/>
    <n v="50.689500000000002"/>
    <x v="10"/>
    <x v="6"/>
  </r>
  <r>
    <s v="440-lanche apresuntado mp"/>
    <x v="2"/>
    <n v="5"/>
    <n v="7.19"/>
    <n v="35.950000000000003"/>
    <x v="10"/>
    <x v="6"/>
  </r>
  <r>
    <s v="442-linguica suina mp"/>
    <x v="2"/>
    <n v="10"/>
    <n v="18.53"/>
    <n v="185.3"/>
    <x v="11"/>
    <x v="6"/>
  </r>
  <r>
    <s v="442-linguica suina mp"/>
    <x v="2"/>
    <n v="10"/>
    <n v="16.655000000000001"/>
    <n v="166.55"/>
    <x v="11"/>
    <x v="6"/>
  </r>
  <r>
    <s v="442-linguica suina mp"/>
    <x v="2"/>
    <n v="10"/>
    <n v="16.655000000000001"/>
    <n v="166.55"/>
    <x v="11"/>
    <x v="6"/>
  </r>
  <r>
    <s v="442-linguica suina mp"/>
    <x v="2"/>
    <n v="5"/>
    <n v="16.655000000000001"/>
    <n v="83.275000000000006"/>
    <x v="11"/>
    <x v="6"/>
  </r>
  <r>
    <s v="442-linguica suina mp"/>
    <x v="2"/>
    <n v="10"/>
    <n v="17.13"/>
    <n v="171.29999999999998"/>
    <x v="11"/>
    <x v="6"/>
  </r>
  <r>
    <s v="442-linguica suina mp"/>
    <x v="2"/>
    <n v="5"/>
    <n v="17.13"/>
    <n v="85.649999999999991"/>
    <x v="11"/>
    <x v="6"/>
  </r>
  <r>
    <s v="442-linguica suina mp"/>
    <x v="2"/>
    <n v="5"/>
    <n v="17.13"/>
    <n v="85.649999999999991"/>
    <x v="11"/>
    <x v="6"/>
  </r>
  <r>
    <s v="442-linguica suina mp"/>
    <x v="2"/>
    <n v="10"/>
    <n v="16.655000000000001"/>
    <n v="166.55"/>
    <x v="11"/>
    <x v="6"/>
  </r>
  <r>
    <s v="442-linguica suina mp"/>
    <x v="2"/>
    <n v="5"/>
    <n v="16.655000000000001"/>
    <n v="83.275000000000006"/>
    <x v="11"/>
    <x v="6"/>
  </r>
  <r>
    <s v="442-linguica suina mp"/>
    <x v="2"/>
    <n v="5"/>
    <n v="17.420000000000002"/>
    <n v="87.100000000000009"/>
    <x v="11"/>
    <x v="6"/>
  </r>
  <r>
    <s v="442-linguica suina mp"/>
    <x v="2"/>
    <n v="5"/>
    <n v="17.420000000000002"/>
    <n v="87.100000000000009"/>
    <x v="11"/>
    <x v="6"/>
  </r>
  <r>
    <s v="446-file de peito de frango mp"/>
    <x v="2"/>
    <n v="15"/>
    <n v="17.414999999999999"/>
    <n v="261.22499999999997"/>
    <x v="12"/>
    <x v="7"/>
  </r>
  <r>
    <s v="446-file de peito de frango mp"/>
    <x v="2"/>
    <n v="28"/>
    <n v="17.414999999999999"/>
    <n v="487.62"/>
    <x v="12"/>
    <x v="7"/>
  </r>
  <r>
    <s v="446-file de peito de frango mp"/>
    <x v="2"/>
    <n v="30"/>
    <n v="17.414999999999999"/>
    <n v="522.44999999999993"/>
    <x v="12"/>
    <x v="7"/>
  </r>
  <r>
    <s v="446-file de peito de frango mp"/>
    <x v="2"/>
    <n v="15"/>
    <n v="17.414999999999999"/>
    <n v="261.22499999999997"/>
    <x v="12"/>
    <x v="7"/>
  </r>
  <r>
    <s v="446-file de peito de frango mp"/>
    <x v="2"/>
    <n v="20"/>
    <n v="17.414999999999999"/>
    <n v="348.29999999999995"/>
    <x v="12"/>
    <x v="7"/>
  </r>
  <r>
    <s v="446-file de peito de frango mp"/>
    <x v="2"/>
    <n v="15"/>
    <n v="17.414999999999999"/>
    <n v="261.22499999999997"/>
    <x v="12"/>
    <x v="7"/>
  </r>
  <r>
    <s v="446-file de peito de frango mp"/>
    <x v="2"/>
    <n v="15"/>
    <n v="16.119"/>
    <n v="241.785"/>
    <x v="12"/>
    <x v="7"/>
  </r>
  <r>
    <s v="446-file de peito de frango mp"/>
    <x v="2"/>
    <n v="15"/>
    <n v="16.119"/>
    <n v="241.785"/>
    <x v="12"/>
    <x v="7"/>
  </r>
  <r>
    <s v="446-file de peito de frango mp"/>
    <x v="2"/>
    <n v="15"/>
    <n v="16.119"/>
    <n v="241.785"/>
    <x v="12"/>
    <x v="7"/>
  </r>
  <r>
    <s v="446-file de peito de frango mp"/>
    <x v="2"/>
    <n v="30"/>
    <n v="16.119"/>
    <n v="483.57"/>
    <x v="12"/>
    <x v="7"/>
  </r>
  <r>
    <s v="446-file de peito de frango mp"/>
    <x v="2"/>
    <n v="15"/>
    <n v="16.119"/>
    <n v="241.785"/>
    <x v="12"/>
    <x v="7"/>
  </r>
  <r>
    <s v="446-file de peito de frango mp"/>
    <x v="2"/>
    <n v="13.3"/>
    <n v="16.119"/>
    <n v="214.3827"/>
    <x v="12"/>
    <x v="7"/>
  </r>
  <r>
    <s v="446-file de peito de frango mp"/>
    <x v="2"/>
    <n v="15"/>
    <n v="16.119"/>
    <n v="241.785"/>
    <x v="12"/>
    <x v="7"/>
  </r>
  <r>
    <s v="446-file de peito de frango mp"/>
    <x v="2"/>
    <n v="18.326000000000001"/>
    <n v="16.119"/>
    <n v="295.396794"/>
    <x v="12"/>
    <x v="7"/>
  </r>
  <r>
    <s v="447-frango inteiro mp"/>
    <x v="2"/>
    <n v="2.75"/>
    <n v="9.9708000000000006"/>
    <n v="27.419700000000002"/>
    <x v="13"/>
    <x v="7"/>
  </r>
  <r>
    <s v="447-frango inteiro mp"/>
    <x v="2"/>
    <n v="2.5"/>
    <n v="9.9708000000000006"/>
    <n v="24.927"/>
    <x v="13"/>
    <x v="7"/>
  </r>
  <r>
    <s v="447-frango inteiro mp"/>
    <x v="2"/>
    <n v="3.15"/>
    <n v="9.9708000000000006"/>
    <n v="31.40802"/>
    <x v="13"/>
    <x v="7"/>
  </r>
  <r>
    <s v="447-frango inteiro mp"/>
    <x v="2"/>
    <n v="2.2000000000000002"/>
    <n v="9.9708000000000006"/>
    <n v="21.935760000000002"/>
    <x v="13"/>
    <x v="7"/>
  </r>
  <r>
    <s v="449-ovo mp"/>
    <x v="0"/>
    <n v="60"/>
    <n v="0.56669999999999998"/>
    <n v="34.001999999999995"/>
    <x v="14"/>
    <x v="7"/>
  </r>
  <r>
    <s v="449-ovo mp"/>
    <x v="3"/>
    <n v="4"/>
    <n v="17.001000000000001"/>
    <n v="68.004000000000005"/>
    <x v="14"/>
    <x v="7"/>
  </r>
  <r>
    <s v="449-ovo mp"/>
    <x v="0"/>
    <n v="90"/>
    <n v="0.56669999999999998"/>
    <n v="51.003"/>
    <x v="14"/>
    <x v="7"/>
  </r>
  <r>
    <s v="449-ovo mp"/>
    <x v="0"/>
    <n v="150"/>
    <n v="0.56669999999999998"/>
    <n v="85.004999999999995"/>
    <x v="14"/>
    <x v="7"/>
  </r>
  <r>
    <s v="449-ovo mp"/>
    <x v="0"/>
    <n v="90"/>
    <n v="0.56669999999999998"/>
    <n v="51.003"/>
    <x v="14"/>
    <x v="7"/>
  </r>
  <r>
    <s v="449-ovo mp"/>
    <x v="3"/>
    <n v="6"/>
    <n v="17.001000000000001"/>
    <n v="102.006"/>
    <x v="14"/>
    <x v="7"/>
  </r>
  <r>
    <s v="449-ovo mp"/>
    <x v="0"/>
    <n v="60"/>
    <n v="0.56669999999999998"/>
    <n v="34.001999999999995"/>
    <x v="14"/>
    <x v="7"/>
  </r>
  <r>
    <s v="449-ovo mp"/>
    <x v="0"/>
    <n v="180"/>
    <n v="0.56669999999999998"/>
    <n v="102.006"/>
    <x v="14"/>
    <x v="7"/>
  </r>
  <r>
    <s v="449-ovo mp"/>
    <x v="0"/>
    <n v="60"/>
    <n v="0.56669999999999998"/>
    <n v="34.001999999999995"/>
    <x v="14"/>
    <x v="7"/>
  </r>
  <r>
    <s v="450-coentro mp"/>
    <x v="2"/>
    <n v="1.1499999999999999"/>
    <n v="1.55"/>
    <n v="1.7825"/>
    <x v="15"/>
    <x v="8"/>
  </r>
  <r>
    <s v="450-coentro mp"/>
    <x v="2"/>
    <n v="1.55"/>
    <n v="1.55"/>
    <n v="2.4025000000000003"/>
    <x v="15"/>
    <x v="8"/>
  </r>
  <r>
    <s v="450-coentro mp"/>
    <x v="2"/>
    <n v="1.85"/>
    <n v="1.55"/>
    <n v="2.8675000000000002"/>
    <x v="15"/>
    <x v="8"/>
  </r>
  <r>
    <s v="450-coentro mp"/>
    <x v="2"/>
    <n v="1.6"/>
    <n v="1.55"/>
    <n v="2.4800000000000004"/>
    <x v="15"/>
    <x v="8"/>
  </r>
  <r>
    <s v="450-coentro mp"/>
    <x v="2"/>
    <n v="2.2000000000000002"/>
    <n v="1.55"/>
    <n v="3.4100000000000006"/>
    <x v="15"/>
    <x v="8"/>
  </r>
  <r>
    <s v="450-coentro mp"/>
    <x v="2"/>
    <n v="0.85"/>
    <n v="1.55"/>
    <n v="1.3174999999999999"/>
    <x v="15"/>
    <x v="8"/>
  </r>
  <r>
    <s v="450-coentro mp"/>
    <x v="2"/>
    <n v="1.1499999999999999"/>
    <n v="1.55"/>
    <n v="1.7825"/>
    <x v="15"/>
    <x v="8"/>
  </r>
  <r>
    <s v="450-coentro mp"/>
    <x v="2"/>
    <n v="0.9"/>
    <n v="1.55"/>
    <n v="1.395"/>
    <x v="15"/>
    <x v="8"/>
  </r>
  <r>
    <s v="450-coentro mp"/>
    <x v="2"/>
    <n v="1.25"/>
    <n v="1.55"/>
    <n v="1.9375"/>
    <x v="15"/>
    <x v="8"/>
  </r>
  <r>
    <s v="450-coentro mp"/>
    <x v="2"/>
    <n v="1.7"/>
    <n v="1.55"/>
    <n v="2.6349999999999998"/>
    <x v="15"/>
    <x v="8"/>
  </r>
  <r>
    <s v="450-coentro mp"/>
    <x v="2"/>
    <n v="0.7"/>
    <n v="1.55"/>
    <n v="1.085"/>
    <x v="15"/>
    <x v="8"/>
  </r>
  <r>
    <s v="453-pimentao mp"/>
    <x v="2"/>
    <n v="3"/>
    <n v="2.5"/>
    <n v="7.5"/>
    <x v="16"/>
    <x v="8"/>
  </r>
  <r>
    <s v="453-pimentao mp"/>
    <x v="2"/>
    <n v="3.95"/>
    <n v="2.5"/>
    <n v="9.875"/>
    <x v="16"/>
    <x v="8"/>
  </r>
  <r>
    <s v="453-pimentao mp"/>
    <x v="2"/>
    <n v="5.05"/>
    <n v="3"/>
    <n v="15.149999999999999"/>
    <x v="16"/>
    <x v="8"/>
  </r>
  <r>
    <s v="453-pimentao mp"/>
    <x v="2"/>
    <n v="3.95"/>
    <n v="2.5"/>
    <n v="9.875"/>
    <x v="16"/>
    <x v="8"/>
  </r>
  <r>
    <s v="453-pimentao mp"/>
    <x v="2"/>
    <n v="4.5"/>
    <n v="3"/>
    <n v="13.5"/>
    <x v="16"/>
    <x v="8"/>
  </r>
  <r>
    <s v="453-pimentao mp"/>
    <x v="2"/>
    <n v="2.95"/>
    <n v="2.5"/>
    <n v="7.375"/>
    <x v="16"/>
    <x v="8"/>
  </r>
  <r>
    <s v="453-pimentao mp"/>
    <x v="2"/>
    <n v="2.8"/>
    <n v="2.5"/>
    <n v="7"/>
    <x v="16"/>
    <x v="8"/>
  </r>
  <r>
    <s v="453-pimentao mp"/>
    <x v="2"/>
    <n v="3.15"/>
    <n v="2.5"/>
    <n v="7.875"/>
    <x v="16"/>
    <x v="8"/>
  </r>
  <r>
    <s v="453-pimentao mp"/>
    <x v="2"/>
    <n v="4.5"/>
    <n v="3"/>
    <n v="13.5"/>
    <x v="16"/>
    <x v="8"/>
  </r>
  <r>
    <s v="453-pimentao mp"/>
    <x v="2"/>
    <n v="2.15"/>
    <n v="2.5"/>
    <n v="5.375"/>
    <x v="16"/>
    <x v="8"/>
  </r>
  <r>
    <s v="453-pimentao mp"/>
    <x v="2"/>
    <n v="4.2"/>
    <n v="4"/>
    <n v="16.8"/>
    <x v="16"/>
    <x v="8"/>
  </r>
  <r>
    <s v="453-pimentao mp"/>
    <x v="2"/>
    <n v="2.74"/>
    <n v="2.5"/>
    <n v="6.8500000000000005"/>
    <x v="16"/>
    <x v="8"/>
  </r>
  <r>
    <s v="454-tomate mp"/>
    <x v="2"/>
    <n v="7.95"/>
    <n v="7"/>
    <n v="55.65"/>
    <x v="17"/>
    <x v="8"/>
  </r>
  <r>
    <s v="454-tomate mp"/>
    <x v="2"/>
    <n v="5.9"/>
    <n v="7"/>
    <n v="41.300000000000004"/>
    <x v="17"/>
    <x v="8"/>
  </r>
  <r>
    <s v="454-tomate mp"/>
    <x v="2"/>
    <n v="6.35"/>
    <n v="7"/>
    <n v="44.449999999999996"/>
    <x v="17"/>
    <x v="8"/>
  </r>
  <r>
    <s v="454-tomate mp"/>
    <x v="2"/>
    <n v="10"/>
    <n v="7"/>
    <n v="70"/>
    <x v="17"/>
    <x v="8"/>
  </r>
  <r>
    <s v="454-tomate mp"/>
    <x v="2"/>
    <n v="21.4"/>
    <n v="7"/>
    <n v="149.79999999999998"/>
    <x v="17"/>
    <x v="8"/>
  </r>
  <r>
    <s v="454-tomate mp"/>
    <x v="2"/>
    <n v="22.6"/>
    <n v="7"/>
    <n v="158.20000000000002"/>
    <x v="17"/>
    <x v="8"/>
  </r>
  <r>
    <s v="454-tomate mp"/>
    <x v="2"/>
    <n v="10"/>
    <n v="7"/>
    <n v="70"/>
    <x v="17"/>
    <x v="8"/>
  </r>
  <r>
    <s v="454-tomate mp"/>
    <x v="2"/>
    <n v="8.75"/>
    <n v="7"/>
    <n v="61.25"/>
    <x v="17"/>
    <x v="8"/>
  </r>
  <r>
    <s v="454-tomate mp"/>
    <x v="2"/>
    <n v="3.88"/>
    <n v="7"/>
    <n v="27.16"/>
    <x v="17"/>
    <x v="8"/>
  </r>
  <r>
    <s v="454-tomate mp"/>
    <x v="2"/>
    <n v="8.85"/>
    <n v="7"/>
    <n v="61.949999999999996"/>
    <x v="17"/>
    <x v="8"/>
  </r>
  <r>
    <s v="454-tomate mp"/>
    <x v="2"/>
    <n v="4.75"/>
    <n v="7"/>
    <n v="33.25"/>
    <x v="17"/>
    <x v="8"/>
  </r>
  <r>
    <s v="454-tomate mp"/>
    <x v="2"/>
    <n v="7.75"/>
    <n v="7"/>
    <n v="54.25"/>
    <x v="17"/>
    <x v="8"/>
  </r>
  <r>
    <s v="454-tomate mp"/>
    <x v="2"/>
    <n v="9.4"/>
    <n v="7"/>
    <n v="65.8"/>
    <x v="17"/>
    <x v="8"/>
  </r>
  <r>
    <s v="454-tomate mp"/>
    <x v="2"/>
    <n v="12.1"/>
    <n v="7"/>
    <n v="84.7"/>
    <x v="17"/>
    <x v="8"/>
  </r>
  <r>
    <s v="454-tomate mp"/>
    <x v="2"/>
    <n v="12"/>
    <n v="7"/>
    <n v="84"/>
    <x v="17"/>
    <x v="8"/>
  </r>
  <r>
    <s v="454-tomate mp"/>
    <x v="2"/>
    <n v="9.85"/>
    <n v="7"/>
    <n v="68.95"/>
    <x v="17"/>
    <x v="8"/>
  </r>
  <r>
    <s v="454-tomate mp"/>
    <x v="2"/>
    <n v="13.2"/>
    <n v="7"/>
    <n v="92.399999999999991"/>
    <x v="17"/>
    <x v="8"/>
  </r>
  <r>
    <s v="454-tomate mp"/>
    <x v="2"/>
    <n v="1.17"/>
    <n v="7"/>
    <n v="8.19"/>
    <x v="17"/>
    <x v="8"/>
  </r>
  <r>
    <s v="455-laranja mp"/>
    <x v="2"/>
    <n v="19"/>
    <n v="2.1053000000000002"/>
    <n v="40.000700000000002"/>
    <x v="18"/>
    <x v="8"/>
  </r>
  <r>
    <s v="455-laranja mp"/>
    <x v="2"/>
    <n v="19"/>
    <n v="2.1053000000000002"/>
    <n v="40.000700000000002"/>
    <x v="18"/>
    <x v="8"/>
  </r>
  <r>
    <s v="455-laranja mp"/>
    <x v="2"/>
    <n v="18.95"/>
    <n v="2.1053000000000002"/>
    <n v="39.895434999999999"/>
    <x v="18"/>
    <x v="8"/>
  </r>
  <r>
    <s v="455-laranja mp"/>
    <x v="2"/>
    <n v="19"/>
    <n v="2.1053000000000002"/>
    <n v="40.000700000000002"/>
    <x v="18"/>
    <x v="8"/>
  </r>
  <r>
    <s v="455-laranja mp"/>
    <x v="2"/>
    <n v="19"/>
    <n v="2.1053000000000002"/>
    <n v="40.000700000000002"/>
    <x v="18"/>
    <x v="8"/>
  </r>
  <r>
    <s v="455-laranja mp"/>
    <x v="2"/>
    <n v="18.899999999999999"/>
    <n v="2.1053000000000002"/>
    <n v="39.790170000000003"/>
    <x v="18"/>
    <x v="8"/>
  </r>
  <r>
    <s v="455-laranja mp"/>
    <x v="2"/>
    <n v="18.350000000000001"/>
    <n v="2.1053000000000002"/>
    <n v="38.632255000000008"/>
    <x v="18"/>
    <x v="8"/>
  </r>
  <r>
    <s v="455-laranja mp"/>
    <x v="2"/>
    <n v="19"/>
    <n v="2.1053000000000002"/>
    <n v="40.000700000000002"/>
    <x v="18"/>
    <x v="8"/>
  </r>
  <r>
    <s v="455-laranja mp"/>
    <x v="2"/>
    <n v="20"/>
    <n v="2.1053000000000002"/>
    <n v="42.106000000000002"/>
    <x v="18"/>
    <x v="8"/>
  </r>
  <r>
    <s v="455-laranja mp"/>
    <x v="2"/>
    <n v="14.85"/>
    <n v="2.1053000000000002"/>
    <n v="31.263705000000002"/>
    <x v="18"/>
    <x v="8"/>
  </r>
  <r>
    <s v="455-laranja mp"/>
    <x v="2"/>
    <n v="19"/>
    <n v="2.1053000000000002"/>
    <n v="40.000700000000002"/>
    <x v="18"/>
    <x v="8"/>
  </r>
  <r>
    <s v="455-laranja mp"/>
    <x v="2"/>
    <n v="18"/>
    <n v="2.1053000000000002"/>
    <n v="37.895400000000002"/>
    <x v="18"/>
    <x v="8"/>
  </r>
  <r>
    <s v="455-laranja mp"/>
    <x v="2"/>
    <n v="19"/>
    <n v="2.1053000000000002"/>
    <n v="40.000700000000002"/>
    <x v="18"/>
    <x v="8"/>
  </r>
  <r>
    <s v="455-laranja mp"/>
    <x v="2"/>
    <n v="19"/>
    <n v="2.1053000000000002"/>
    <n v="40.000700000000002"/>
    <x v="18"/>
    <x v="8"/>
  </r>
  <r>
    <s v="455-laranja mp"/>
    <x v="2"/>
    <n v="19"/>
    <n v="2.1053000000000002"/>
    <n v="40.000700000000002"/>
    <x v="18"/>
    <x v="8"/>
  </r>
  <r>
    <s v="456-limao mp"/>
    <x v="2"/>
    <n v="3.8"/>
    <n v="4"/>
    <n v="15.2"/>
    <x v="19"/>
    <x v="8"/>
  </r>
  <r>
    <s v="456-limao mp"/>
    <x v="2"/>
    <n v="4.4000000000000004"/>
    <n v="4"/>
    <n v="17.600000000000001"/>
    <x v="19"/>
    <x v="8"/>
  </r>
  <r>
    <s v="458-morango mp"/>
    <x v="2"/>
    <n v="1.1499999999999999"/>
    <n v="20"/>
    <n v="23"/>
    <x v="20"/>
    <x v="8"/>
  </r>
  <r>
    <s v="458-morango mp"/>
    <x v="2"/>
    <n v="0.9"/>
    <n v="35"/>
    <n v="31.5"/>
    <x v="20"/>
    <x v="8"/>
  </r>
  <r>
    <s v="459-abacaxi mp"/>
    <x v="0"/>
    <n v="3"/>
    <n v="3.6111"/>
    <n v="10.833299999999999"/>
    <x v="21"/>
    <x v="8"/>
  </r>
  <r>
    <s v="459-abacaxi mp"/>
    <x v="0"/>
    <n v="2"/>
    <n v="3.6111"/>
    <n v="7.2222"/>
    <x v="21"/>
    <x v="8"/>
  </r>
  <r>
    <s v="459-abacaxi mp"/>
    <x v="0"/>
    <n v="2"/>
    <n v="3.6111"/>
    <n v="7.2222"/>
    <x v="21"/>
    <x v="8"/>
  </r>
  <r>
    <s v="459-abacaxi mp"/>
    <x v="0"/>
    <n v="2"/>
    <n v="3.6111"/>
    <n v="7.2222"/>
    <x v="21"/>
    <x v="8"/>
  </r>
  <r>
    <s v="459-abacaxi mp"/>
    <x v="0"/>
    <n v="3"/>
    <n v="3.6111"/>
    <n v="10.833299999999999"/>
    <x v="21"/>
    <x v="8"/>
  </r>
  <r>
    <s v="459-abacaxi mp"/>
    <x v="0"/>
    <n v="3"/>
    <n v="3.6111"/>
    <n v="10.833299999999999"/>
    <x v="21"/>
    <x v="8"/>
  </r>
  <r>
    <s v="459-abacaxi mp"/>
    <x v="0"/>
    <n v="2"/>
    <n v="3.6111"/>
    <n v="7.2222"/>
    <x v="21"/>
    <x v="8"/>
  </r>
  <r>
    <s v="459-abacaxi mp"/>
    <x v="0"/>
    <n v="3"/>
    <n v="3.6111"/>
    <n v="10.833299999999999"/>
    <x v="21"/>
    <x v="8"/>
  </r>
  <r>
    <s v="459-abacaxi mp"/>
    <x v="0"/>
    <n v="2"/>
    <n v="3.6111"/>
    <n v="7.2222"/>
    <x v="21"/>
    <x v="8"/>
  </r>
  <r>
    <s v="459-abacaxi mp"/>
    <x v="0"/>
    <n v="2"/>
    <n v="3.6111"/>
    <n v="7.2222"/>
    <x v="21"/>
    <x v="8"/>
  </r>
  <r>
    <s v="459-abacaxi mp"/>
    <x v="0"/>
    <n v="3"/>
    <n v="3.6111"/>
    <n v="10.833299999999999"/>
    <x v="21"/>
    <x v="8"/>
  </r>
  <r>
    <s v="460-aipim mp"/>
    <x v="2"/>
    <n v="2.7"/>
    <n v="3.7837999999999998"/>
    <n v="10.21626"/>
    <x v="22"/>
    <x v="8"/>
  </r>
  <r>
    <s v="461-alface mp"/>
    <x v="2"/>
    <n v="1.8"/>
    <n v="0.75"/>
    <n v="1.35"/>
    <x v="23"/>
    <x v="8"/>
  </r>
  <r>
    <s v="461-alface mp"/>
    <x v="2"/>
    <n v="0.9"/>
    <n v="0.75"/>
    <n v="0.67500000000000004"/>
    <x v="23"/>
    <x v="8"/>
  </r>
  <r>
    <s v="461-alface mp"/>
    <x v="2"/>
    <n v="0.6"/>
    <n v="0.75"/>
    <n v="0.44999999999999996"/>
    <x v="23"/>
    <x v="8"/>
  </r>
  <r>
    <s v="461-alface mp"/>
    <x v="2"/>
    <n v="0.8"/>
    <n v="0.75"/>
    <n v="0.60000000000000009"/>
    <x v="23"/>
    <x v="8"/>
  </r>
  <r>
    <s v="461-alface mp"/>
    <x v="2"/>
    <n v="1.3"/>
    <n v="0.75"/>
    <n v="0.97500000000000009"/>
    <x v="23"/>
    <x v="8"/>
  </r>
  <r>
    <s v="461-alface mp"/>
    <x v="2"/>
    <n v="0.65"/>
    <n v="0.75"/>
    <n v="0.48750000000000004"/>
    <x v="23"/>
    <x v="8"/>
  </r>
  <r>
    <s v="461-alface mp"/>
    <x v="2"/>
    <n v="0.62"/>
    <n v="0.75"/>
    <n v="0.46499999999999997"/>
    <x v="23"/>
    <x v="8"/>
  </r>
  <r>
    <s v="462-alho mp"/>
    <x v="2"/>
    <n v="1.7"/>
    <n v="8"/>
    <n v="13.6"/>
    <x v="24"/>
    <x v="8"/>
  </r>
  <r>
    <s v="462-alho mp"/>
    <x v="2"/>
    <n v="2.2999999999999998"/>
    <n v="8"/>
    <n v="18.399999999999999"/>
    <x v="24"/>
    <x v="8"/>
  </r>
  <r>
    <s v="462-alho mp"/>
    <x v="2"/>
    <n v="1.25"/>
    <n v="8"/>
    <n v="10"/>
    <x v="24"/>
    <x v="8"/>
  </r>
  <r>
    <s v="462-alho mp"/>
    <x v="2"/>
    <n v="2.8"/>
    <n v="8"/>
    <n v="22.4"/>
    <x v="24"/>
    <x v="8"/>
  </r>
  <r>
    <s v="462-alho mp"/>
    <x v="2"/>
    <n v="2.5499999999999998"/>
    <n v="8"/>
    <n v="20.399999999999999"/>
    <x v="24"/>
    <x v="8"/>
  </r>
  <r>
    <s v="463-batata inglesa mp"/>
    <x v="2"/>
    <n v="24.5"/>
    <n v="2.7082999999999999"/>
    <n v="66.353349999999992"/>
    <x v="25"/>
    <x v="8"/>
  </r>
  <r>
    <s v="463-batata inglesa mp"/>
    <x v="2"/>
    <n v="24.75"/>
    <n v="2.7082999999999999"/>
    <n v="67.030424999999994"/>
    <x v="25"/>
    <x v="8"/>
  </r>
  <r>
    <s v="463-batata inglesa mp"/>
    <x v="2"/>
    <n v="24.25"/>
    <n v="2.7082999999999999"/>
    <n v="65.676275000000004"/>
    <x v="25"/>
    <x v="8"/>
  </r>
  <r>
    <s v="463-batata inglesa mp"/>
    <x v="2"/>
    <n v="5.35"/>
    <n v="2.7082999999999999"/>
    <n v="14.489404999999998"/>
    <x v="25"/>
    <x v="8"/>
  </r>
  <r>
    <s v="463-batata inglesa mp"/>
    <x v="2"/>
    <n v="24.2"/>
    <n v="2.7082999999999999"/>
    <n v="65.540859999999995"/>
    <x v="25"/>
    <x v="8"/>
  </r>
  <r>
    <s v="463-batata inglesa mp"/>
    <x v="2"/>
    <n v="24"/>
    <n v="2.7082999999999999"/>
    <n v="64.999200000000002"/>
    <x v="25"/>
    <x v="8"/>
  </r>
  <r>
    <s v="463-batata inglesa mp"/>
    <x v="2"/>
    <n v="23.8"/>
    <n v="2.7082999999999999"/>
    <n v="64.457539999999995"/>
    <x v="25"/>
    <x v="8"/>
  </r>
  <r>
    <s v="463-batata inglesa mp"/>
    <x v="2"/>
    <n v="24"/>
    <n v="2.7082999999999999"/>
    <n v="64.999200000000002"/>
    <x v="25"/>
    <x v="8"/>
  </r>
  <r>
    <s v="463-batata inglesa mp"/>
    <x v="2"/>
    <n v="13.35"/>
    <n v="2.7082999999999999"/>
    <n v="36.155805000000001"/>
    <x v="25"/>
    <x v="8"/>
  </r>
  <r>
    <s v="464-brocolis mp"/>
    <x v="2"/>
    <n v="2.5299999999999998"/>
    <n v="6.2868000000000004"/>
    <n v="15.905604"/>
    <x v="26"/>
    <x v="8"/>
  </r>
  <r>
    <s v="464-brocolis mp"/>
    <x v="2"/>
    <n v="1.45"/>
    <n v="6.2868000000000004"/>
    <n v="9.1158599999999996"/>
    <x v="26"/>
    <x v="8"/>
  </r>
  <r>
    <s v="464-brocolis mp"/>
    <x v="2"/>
    <n v="2.5"/>
    <n v="6.2868000000000004"/>
    <n v="15.717000000000001"/>
    <x v="26"/>
    <x v="8"/>
  </r>
  <r>
    <s v="464-brocolis mp"/>
    <x v="2"/>
    <n v="2.4500000000000002"/>
    <n v="6.2868000000000004"/>
    <n v="15.402660000000003"/>
    <x v="26"/>
    <x v="8"/>
  </r>
  <r>
    <s v="464-brocolis mp"/>
    <x v="2"/>
    <n v="2.15"/>
    <n v="6.2868000000000004"/>
    <n v="13.51662"/>
    <x v="26"/>
    <x v="8"/>
  </r>
  <r>
    <s v="465-cebola branca mp"/>
    <x v="2"/>
    <n v="12.2"/>
    <n v="1.7"/>
    <n v="20.74"/>
    <x v="27"/>
    <x v="8"/>
  </r>
  <r>
    <s v="465-cebola branca mp"/>
    <x v="2"/>
    <n v="20"/>
    <n v="1.7"/>
    <n v="34"/>
    <x v="27"/>
    <x v="8"/>
  </r>
  <r>
    <s v="465-cebola branca mp"/>
    <x v="2"/>
    <n v="20"/>
    <n v="1.7"/>
    <n v="34"/>
    <x v="27"/>
    <x v="8"/>
  </r>
  <r>
    <s v="465-cebola branca mp"/>
    <x v="2"/>
    <n v="19.3"/>
    <n v="1.7"/>
    <n v="32.81"/>
    <x v="27"/>
    <x v="8"/>
  </r>
  <r>
    <s v="465-cebola branca mp"/>
    <x v="2"/>
    <n v="20"/>
    <n v="1.7"/>
    <n v="34"/>
    <x v="27"/>
    <x v="8"/>
  </r>
  <r>
    <s v="465-cebola branca mp"/>
    <x v="2"/>
    <n v="19"/>
    <n v="1.7"/>
    <n v="32.299999999999997"/>
    <x v="27"/>
    <x v="8"/>
  </r>
  <r>
    <s v="466-cenoura mp"/>
    <x v="2"/>
    <n v="8.5"/>
    <n v="2.5"/>
    <n v="21.25"/>
    <x v="28"/>
    <x v="8"/>
  </r>
  <r>
    <s v="466-cenoura mp"/>
    <x v="2"/>
    <n v="10"/>
    <n v="3"/>
    <n v="30"/>
    <x v="28"/>
    <x v="8"/>
  </r>
  <r>
    <s v="466-cenoura mp"/>
    <x v="2"/>
    <n v="8.1999999999999993"/>
    <n v="2.5"/>
    <n v="20.5"/>
    <x v="28"/>
    <x v="8"/>
  </r>
  <r>
    <s v="466-cenoura mp"/>
    <x v="2"/>
    <n v="3.5"/>
    <n v="3"/>
    <n v="10.5"/>
    <x v="28"/>
    <x v="8"/>
  </r>
  <r>
    <s v="466-cenoura mp"/>
    <x v="2"/>
    <n v="8.85"/>
    <n v="3"/>
    <n v="26.549999999999997"/>
    <x v="28"/>
    <x v="8"/>
  </r>
  <r>
    <s v="466-cenoura mp"/>
    <x v="2"/>
    <n v="6.8"/>
    <n v="2.5"/>
    <n v="17"/>
    <x v="28"/>
    <x v="8"/>
  </r>
  <r>
    <s v="466-cenoura mp"/>
    <x v="2"/>
    <n v="6.9"/>
    <n v="2.5"/>
    <n v="17.25"/>
    <x v="28"/>
    <x v="8"/>
  </r>
  <r>
    <s v="466-cenoura mp"/>
    <x v="2"/>
    <n v="7.15"/>
    <n v="2.5"/>
    <n v="17.875"/>
    <x v="28"/>
    <x v="8"/>
  </r>
  <r>
    <s v="466-cenoura mp"/>
    <x v="2"/>
    <n v="8.6"/>
    <n v="2.5"/>
    <n v="21.5"/>
    <x v="28"/>
    <x v="8"/>
  </r>
  <r>
    <s v="466-cenoura mp"/>
    <x v="2"/>
    <n v="4.45"/>
    <n v="2.5"/>
    <n v="11.125"/>
    <x v="28"/>
    <x v="8"/>
  </r>
  <r>
    <s v="466-cenoura mp"/>
    <x v="2"/>
    <n v="7.2"/>
    <n v="3"/>
    <n v="21.6"/>
    <x v="28"/>
    <x v="8"/>
  </r>
  <r>
    <s v="466-cenoura mp"/>
    <x v="2"/>
    <n v="6"/>
    <n v="4"/>
    <n v="24"/>
    <x v="28"/>
    <x v="8"/>
  </r>
  <r>
    <s v="466-cenoura mp"/>
    <x v="2"/>
    <n v="2.6"/>
    <n v="3"/>
    <n v="7.8000000000000007"/>
    <x v="28"/>
    <x v="8"/>
  </r>
  <r>
    <s v="466-cenoura mp"/>
    <x v="2"/>
    <n v="15.6"/>
    <n v="2.5"/>
    <n v="39"/>
    <x v="28"/>
    <x v="8"/>
  </r>
  <r>
    <s v="466-cenoura mp"/>
    <x v="2"/>
    <n v="9.65"/>
    <n v="2.5"/>
    <n v="24.125"/>
    <x v="28"/>
    <x v="8"/>
  </r>
  <r>
    <s v="466-cenoura mp"/>
    <x v="2"/>
    <n v="3.89"/>
    <n v="2.5"/>
    <n v="9.7249999999999996"/>
    <x v="28"/>
    <x v="8"/>
  </r>
  <r>
    <s v="467-leite mp"/>
    <x v="4"/>
    <n v="11.5"/>
    <n v="3.5"/>
    <n v="40.25"/>
    <x v="29"/>
    <x v="9"/>
  </r>
  <r>
    <s v="467-leite mp"/>
    <x v="4"/>
    <n v="16"/>
    <n v="3.5"/>
    <n v="56"/>
    <x v="29"/>
    <x v="9"/>
  </r>
  <r>
    <s v="467-leite mp"/>
    <x v="4"/>
    <n v="12"/>
    <n v="3.5"/>
    <n v="42"/>
    <x v="29"/>
    <x v="9"/>
  </r>
  <r>
    <s v="467-leite mp"/>
    <x v="4"/>
    <n v="10"/>
    <n v="3.5"/>
    <n v="35"/>
    <x v="29"/>
    <x v="9"/>
  </r>
  <r>
    <s v="467-leite mp"/>
    <x v="4"/>
    <n v="6"/>
    <n v="3.5"/>
    <n v="21"/>
    <x v="29"/>
    <x v="9"/>
  </r>
  <r>
    <s v="467-leite mp"/>
    <x v="4"/>
    <n v="12"/>
    <n v="3.5"/>
    <n v="42"/>
    <x v="29"/>
    <x v="9"/>
  </r>
  <r>
    <s v="467-leite mp"/>
    <x v="4"/>
    <n v="7"/>
    <n v="3.5"/>
    <n v="24.5"/>
    <x v="29"/>
    <x v="9"/>
  </r>
  <r>
    <s v="467-leite mp"/>
    <x v="4"/>
    <n v="8"/>
    <n v="3.5"/>
    <n v="28"/>
    <x v="29"/>
    <x v="9"/>
  </r>
  <r>
    <s v="467-leite mp"/>
    <x v="4"/>
    <n v="12"/>
    <n v="3.5"/>
    <n v="42"/>
    <x v="29"/>
    <x v="9"/>
  </r>
  <r>
    <s v="467-leite mp"/>
    <x v="4"/>
    <n v="12"/>
    <n v="3.5"/>
    <n v="42"/>
    <x v="29"/>
    <x v="9"/>
  </r>
  <r>
    <s v="467-leite mp"/>
    <x v="4"/>
    <n v="12"/>
    <n v="3.5"/>
    <n v="42"/>
    <x v="29"/>
    <x v="9"/>
  </r>
  <r>
    <s v="467-leite mp"/>
    <x v="4"/>
    <n v="12"/>
    <n v="3.5"/>
    <n v="42"/>
    <x v="29"/>
    <x v="9"/>
  </r>
  <r>
    <s v="467-leite mp"/>
    <x v="4"/>
    <n v="8"/>
    <n v="3.5"/>
    <n v="28"/>
    <x v="29"/>
    <x v="9"/>
  </r>
  <r>
    <s v="467-leite mp"/>
    <x v="4"/>
    <n v="6"/>
    <n v="3.5"/>
    <n v="21"/>
    <x v="29"/>
    <x v="9"/>
  </r>
  <r>
    <s v="467-leite mp"/>
    <x v="4"/>
    <n v="10"/>
    <n v="3.5"/>
    <n v="35"/>
    <x v="29"/>
    <x v="9"/>
  </r>
  <r>
    <s v="467-leite mp"/>
    <x v="4"/>
    <n v="12"/>
    <n v="3.5"/>
    <n v="42"/>
    <x v="29"/>
    <x v="9"/>
  </r>
  <r>
    <s v="467-leite mp"/>
    <x v="4"/>
    <n v="12"/>
    <n v="3.5"/>
    <n v="42"/>
    <x v="29"/>
    <x v="9"/>
  </r>
  <r>
    <s v="467-leite mp"/>
    <x v="4"/>
    <n v="6"/>
    <n v="3.5"/>
    <n v="21"/>
    <x v="29"/>
    <x v="9"/>
  </r>
  <r>
    <s v="467-leite mp"/>
    <x v="4"/>
    <n v="6"/>
    <n v="3.5"/>
    <n v="21"/>
    <x v="29"/>
    <x v="9"/>
  </r>
  <r>
    <s v="467-leite mp"/>
    <x v="4"/>
    <n v="14"/>
    <n v="3.5"/>
    <n v="49"/>
    <x v="29"/>
    <x v="9"/>
  </r>
  <r>
    <s v="467-leite mp"/>
    <x v="4"/>
    <n v="14"/>
    <n v="3.5"/>
    <n v="49"/>
    <x v="29"/>
    <x v="9"/>
  </r>
  <r>
    <s v="467-leite mp"/>
    <x v="4"/>
    <n v="12"/>
    <n v="3.5"/>
    <n v="42"/>
    <x v="29"/>
    <x v="9"/>
  </r>
  <r>
    <s v="467-leite mp"/>
    <x v="4"/>
    <n v="12"/>
    <n v="3.5"/>
    <n v="42"/>
    <x v="29"/>
    <x v="9"/>
  </r>
  <r>
    <s v="468-leite condensado mp"/>
    <x v="5"/>
    <n v="12"/>
    <n v="6.44"/>
    <n v="77.28"/>
    <x v="30"/>
    <x v="9"/>
  </r>
  <r>
    <s v="469-margarina mp"/>
    <x v="2"/>
    <n v="14"/>
    <n v="8.3699999999999992"/>
    <n v="117.17999999999999"/>
    <x v="31"/>
    <x v="9"/>
  </r>
  <r>
    <s v="469-margarina mp"/>
    <x v="2"/>
    <n v="14"/>
    <n v="8.31"/>
    <n v="116.34"/>
    <x v="31"/>
    <x v="9"/>
  </r>
  <r>
    <s v="469-margarina mp"/>
    <x v="2"/>
    <n v="14"/>
    <n v="8.31"/>
    <n v="116.34"/>
    <x v="31"/>
    <x v="9"/>
  </r>
  <r>
    <s v="470-queijo coalho mp"/>
    <x v="2"/>
    <n v="2.2999999999999998"/>
    <n v="27.670200000000001"/>
    <n v="63.641459999999995"/>
    <x v="32"/>
    <x v="9"/>
  </r>
  <r>
    <s v="470-queijo coalho mp"/>
    <x v="2"/>
    <n v="1.65"/>
    <n v="27.670200000000001"/>
    <n v="45.655830000000002"/>
    <x v="32"/>
    <x v="9"/>
  </r>
  <r>
    <s v="470-queijo coalho mp"/>
    <x v="2"/>
    <n v="1.85"/>
    <n v="27.670200000000001"/>
    <n v="51.189870000000006"/>
    <x v="32"/>
    <x v="9"/>
  </r>
  <r>
    <s v="470-queijo coalho mp"/>
    <x v="2"/>
    <n v="4.1500000000000004"/>
    <n v="21.029199999999999"/>
    <n v="87.271180000000001"/>
    <x v="32"/>
    <x v="9"/>
  </r>
  <r>
    <s v="471-queijo mussarela mp"/>
    <x v="2"/>
    <n v="1.95"/>
    <n v="31.5"/>
    <n v="61.424999999999997"/>
    <x v="33"/>
    <x v="9"/>
  </r>
  <r>
    <s v="471-queijo mussarela mp"/>
    <x v="2"/>
    <n v="4"/>
    <n v="31.5"/>
    <n v="126"/>
    <x v="33"/>
    <x v="9"/>
  </r>
  <r>
    <s v="471-queijo mussarela mp"/>
    <x v="2"/>
    <n v="3.9"/>
    <n v="31.5"/>
    <n v="122.85"/>
    <x v="33"/>
    <x v="9"/>
  </r>
  <r>
    <s v="471-queijo mussarela mp"/>
    <x v="2"/>
    <n v="4.05"/>
    <n v="30.990100000000002"/>
    <n v="125.509905"/>
    <x v="33"/>
    <x v="9"/>
  </r>
  <r>
    <s v="471-queijo mussarela mp"/>
    <x v="2"/>
    <n v="4"/>
    <n v="30.990100000000002"/>
    <n v="123.96040000000001"/>
    <x v="33"/>
    <x v="9"/>
  </r>
  <r>
    <s v="471-queijo mussarela mp"/>
    <x v="2"/>
    <n v="4.5999999999999996"/>
    <n v="30.990100000000002"/>
    <n v="142.55446000000001"/>
    <x v="33"/>
    <x v="9"/>
  </r>
  <r>
    <s v="471-queijo mussarela mp"/>
    <x v="2"/>
    <n v="1.5"/>
    <n v="30.990100000000002"/>
    <n v="46.485150000000004"/>
    <x v="33"/>
    <x v="9"/>
  </r>
  <r>
    <s v="471-queijo mussarela mp"/>
    <x v="2"/>
    <n v="2.16"/>
    <n v="30.990100000000002"/>
    <n v="66.93861600000001"/>
    <x v="33"/>
    <x v="9"/>
  </r>
  <r>
    <s v="475-camarao mp"/>
    <x v="2"/>
    <n v="3.4"/>
    <n v="33"/>
    <n v="112.2"/>
    <x v="34"/>
    <x v="10"/>
  </r>
  <r>
    <s v="475-camarao mp"/>
    <x v="2"/>
    <n v="2.5"/>
    <n v="33"/>
    <n v="82.5"/>
    <x v="34"/>
    <x v="10"/>
  </r>
  <r>
    <s v="475-camarao mp"/>
    <x v="2"/>
    <n v="2.9"/>
    <n v="33"/>
    <n v="95.7"/>
    <x v="34"/>
    <x v="10"/>
  </r>
  <r>
    <s v="475-camarao mp"/>
    <x v="2"/>
    <n v="5.3"/>
    <n v="33"/>
    <n v="174.9"/>
    <x v="34"/>
    <x v="10"/>
  </r>
  <r>
    <s v="475-camarao mp"/>
    <x v="2"/>
    <n v="4.9000000000000004"/>
    <n v="33"/>
    <n v="161.70000000000002"/>
    <x v="34"/>
    <x v="10"/>
  </r>
  <r>
    <s v="476-acucar mp"/>
    <x v="2"/>
    <n v="2"/>
    <n v="3"/>
    <n v="6"/>
    <x v="35"/>
    <x v="11"/>
  </r>
  <r>
    <s v="476-acucar mp"/>
    <x v="2"/>
    <n v="14"/>
    <n v="3"/>
    <n v="42"/>
    <x v="35"/>
    <x v="11"/>
  </r>
  <r>
    <s v="477-arroz branco mp"/>
    <x v="2"/>
    <n v="20"/>
    <n v="4.57"/>
    <n v="91.4"/>
    <x v="36"/>
    <x v="11"/>
  </r>
  <r>
    <s v="477-arroz branco mp"/>
    <x v="2"/>
    <n v="20"/>
    <n v="4.57"/>
    <n v="91.4"/>
    <x v="36"/>
    <x v="11"/>
  </r>
  <r>
    <s v="478-arroz parboilizado mp"/>
    <x v="2"/>
    <n v="10"/>
    <n v="3.9"/>
    <n v="39"/>
    <x v="37"/>
    <x v="11"/>
  </r>
  <r>
    <s v="478-arroz parboilizado mp"/>
    <x v="2"/>
    <n v="30"/>
    <n v="3.9"/>
    <n v="117"/>
    <x v="37"/>
    <x v="11"/>
  </r>
  <r>
    <s v="478-arroz parboilizado mp"/>
    <x v="2"/>
    <n v="40"/>
    <n v="3.9"/>
    <n v="156"/>
    <x v="37"/>
    <x v="11"/>
  </r>
  <r>
    <s v="478-arroz parboilizado mp"/>
    <x v="2"/>
    <n v="20"/>
    <n v="3.9"/>
    <n v="78"/>
    <x v="37"/>
    <x v="11"/>
  </r>
  <r>
    <s v="478-arroz parboilizado mp"/>
    <x v="2"/>
    <n v="30"/>
    <n v="3.75"/>
    <n v="112.5"/>
    <x v="37"/>
    <x v="11"/>
  </r>
  <r>
    <s v="478-arroz parboilizado mp"/>
    <x v="2"/>
    <n v="30"/>
    <n v="3.75"/>
    <n v="112.5"/>
    <x v="37"/>
    <x v="11"/>
  </r>
  <r>
    <s v="478-arroz parboilizado mp"/>
    <x v="2"/>
    <n v="20"/>
    <n v="3.75"/>
    <n v="75"/>
    <x v="37"/>
    <x v="11"/>
  </r>
  <r>
    <s v="478-arroz parboilizado mp"/>
    <x v="2"/>
    <n v="30"/>
    <n v="3.75"/>
    <n v="112.5"/>
    <x v="37"/>
    <x v="11"/>
  </r>
  <r>
    <s v="478-arroz parboilizado mp"/>
    <x v="2"/>
    <n v="20"/>
    <n v="3.75"/>
    <n v="75"/>
    <x v="37"/>
    <x v="11"/>
  </r>
  <r>
    <s v="478-arroz parboilizado mp"/>
    <x v="2"/>
    <n v="20"/>
    <n v="3.75"/>
    <n v="75"/>
    <x v="37"/>
    <x v="11"/>
  </r>
  <r>
    <s v="478-arroz parboilizado mp"/>
    <x v="2"/>
    <n v="30"/>
    <n v="3.75"/>
    <n v="112.5"/>
    <x v="37"/>
    <x v="11"/>
  </r>
  <r>
    <s v="480-creme culinario mp"/>
    <x v="2"/>
    <n v="4"/>
    <n v="12.4071"/>
    <n v="49.628399999999999"/>
    <x v="38"/>
    <x v="11"/>
  </r>
  <r>
    <s v="480-creme culinario mp"/>
    <x v="2"/>
    <n v="3"/>
    <n v="12.4071"/>
    <n v="37.221299999999999"/>
    <x v="38"/>
    <x v="11"/>
  </r>
  <r>
    <s v="480-creme culinario mp"/>
    <x v="2"/>
    <n v="6"/>
    <n v="13.09"/>
    <n v="78.539999999999992"/>
    <x v="38"/>
    <x v="11"/>
  </r>
  <r>
    <s v="484-farinha de rosca mp"/>
    <x v="2"/>
    <n v="4"/>
    <n v="7"/>
    <n v="28"/>
    <x v="39"/>
    <x v="11"/>
  </r>
  <r>
    <s v="484-farinha de rosca mp"/>
    <x v="2"/>
    <n v="12.4"/>
    <n v="7"/>
    <n v="86.8"/>
    <x v="39"/>
    <x v="11"/>
  </r>
  <r>
    <s v="484-farinha de rosca mp"/>
    <x v="2"/>
    <n v="6"/>
    <n v="7"/>
    <n v="42"/>
    <x v="39"/>
    <x v="11"/>
  </r>
  <r>
    <s v="485-farinha de trigo mp"/>
    <x v="2"/>
    <n v="10"/>
    <n v="4"/>
    <n v="40"/>
    <x v="40"/>
    <x v="11"/>
  </r>
  <r>
    <s v="485-farinha de trigo mp"/>
    <x v="2"/>
    <n v="10"/>
    <n v="3.91"/>
    <n v="39.1"/>
    <x v="40"/>
    <x v="11"/>
  </r>
  <r>
    <s v="485-farinha de trigo mp"/>
    <x v="2"/>
    <n v="10"/>
    <n v="3.91"/>
    <n v="39.1"/>
    <x v="40"/>
    <x v="11"/>
  </r>
  <r>
    <s v="486-feijao branco mp"/>
    <x v="2"/>
    <n v="11.5"/>
    <n v="6.5"/>
    <n v="74.75"/>
    <x v="41"/>
    <x v="11"/>
  </r>
  <r>
    <s v="490-ketchup mp"/>
    <x v="2"/>
    <n v="3.5"/>
    <n v="7.0591999999999997"/>
    <n v="24.7072"/>
    <x v="42"/>
    <x v="11"/>
  </r>
  <r>
    <s v="490-ketchup mp"/>
    <x v="2"/>
    <n v="3.3"/>
    <n v="7.0591999999999997"/>
    <n v="23.295359999999999"/>
    <x v="42"/>
    <x v="11"/>
  </r>
  <r>
    <s v="490-ketchup mp"/>
    <x v="2"/>
    <n v="3.4"/>
    <n v="7.7175000000000002"/>
    <n v="26.2395"/>
    <x v="42"/>
    <x v="11"/>
  </r>
  <r>
    <s v="491-leite de coco mp"/>
    <x v="6"/>
    <n v="10"/>
    <n v="3.58"/>
    <n v="35.799999999999997"/>
    <x v="43"/>
    <x v="11"/>
  </r>
  <r>
    <s v="492-macarrao espaguete mp"/>
    <x v="2"/>
    <n v="5.7"/>
    <n v="7.4749999999999996"/>
    <n v="42.607500000000002"/>
    <x v="44"/>
    <x v="11"/>
  </r>
  <r>
    <s v="492-macarrao espaguete mp"/>
    <x v="7"/>
    <n v="14"/>
    <n v="2.99"/>
    <n v="41.86"/>
    <x v="44"/>
    <x v="11"/>
  </r>
  <r>
    <s v="492-macarrao espaguete mp"/>
    <x v="7"/>
    <n v="14"/>
    <n v="2.99"/>
    <n v="41.86"/>
    <x v="44"/>
    <x v="11"/>
  </r>
  <r>
    <s v="493-maionese mp"/>
    <x v="2"/>
    <n v="16.8"/>
    <n v="10.6678"/>
    <n v="179.21904000000001"/>
    <x v="45"/>
    <x v="11"/>
  </r>
  <r>
    <s v="493-maionese mp"/>
    <x v="2"/>
    <n v="16.8"/>
    <n v="10.6678"/>
    <n v="179.21904000000001"/>
    <x v="45"/>
    <x v="11"/>
  </r>
  <r>
    <s v="493-maionese mp"/>
    <x v="2"/>
    <n v="16.8"/>
    <n v="10.774699999999999"/>
    <n v="181.01496"/>
    <x v="45"/>
    <x v="11"/>
  </r>
  <r>
    <s v="493-maionese mp"/>
    <x v="2"/>
    <n v="16.8"/>
    <n v="10.7775"/>
    <n v="181.06200000000001"/>
    <x v="45"/>
    <x v="11"/>
  </r>
  <r>
    <s v="493-maionese mp"/>
    <x v="2"/>
    <n v="20.25"/>
    <n v="10.774699999999999"/>
    <n v="218.18767499999998"/>
    <x v="45"/>
    <x v="11"/>
  </r>
  <r>
    <s v="493-maionese mp"/>
    <x v="2"/>
    <n v="16.8"/>
    <n v="10.719200000000001"/>
    <n v="180.08256000000003"/>
    <x v="45"/>
    <x v="11"/>
  </r>
  <r>
    <s v="500-vinagre mp"/>
    <x v="8"/>
    <n v="12"/>
    <n v="1.46"/>
    <n v="17.52"/>
    <x v="46"/>
    <x v="11"/>
  </r>
  <r>
    <s v="500-vinagre mp"/>
    <x v="8"/>
    <n v="3"/>
    <n v="1.46"/>
    <n v="4.38"/>
    <x v="46"/>
    <x v="11"/>
  </r>
  <r>
    <s v="500-vinagre mp"/>
    <x v="8"/>
    <n v="12"/>
    <n v="1.46"/>
    <n v="17.52"/>
    <x v="46"/>
    <x v="11"/>
  </r>
  <r>
    <s v="501-bacon mp"/>
    <x v="2"/>
    <n v="5.55"/>
    <n v="23.151399999999999"/>
    <n v="128.49026999999998"/>
    <x v="47"/>
    <x v="12"/>
  </r>
  <r>
    <s v="501-bacon mp"/>
    <x v="2"/>
    <n v="4"/>
    <n v="24.191400000000002"/>
    <n v="96.765600000000006"/>
    <x v="47"/>
    <x v="12"/>
  </r>
  <r>
    <s v="501-bacon mp"/>
    <x v="2"/>
    <n v="3.7"/>
    <n v="24.0364"/>
    <n v="88.93468"/>
    <x v="47"/>
    <x v="12"/>
  </r>
  <r>
    <s v="501-bacon mp"/>
    <x v="2"/>
    <n v="3.85"/>
    <n v="24.0364"/>
    <n v="92.540140000000008"/>
    <x v="47"/>
    <x v="12"/>
  </r>
  <r>
    <s v="501-bacon mp"/>
    <x v="2"/>
    <n v="4.75"/>
    <n v="24.0364"/>
    <n v="114.1729"/>
    <x v="47"/>
    <x v="12"/>
  </r>
  <r>
    <s v="501-bacon mp"/>
    <x v="2"/>
    <n v="5.35"/>
    <n v="23.258500000000002"/>
    <n v="124.432975"/>
    <x v="47"/>
    <x v="12"/>
  </r>
  <r>
    <s v="501-bacon mp"/>
    <x v="2"/>
    <n v="5.5179999999999998"/>
    <n v="22.97"/>
    <n v="126.74845999999999"/>
    <x v="47"/>
    <x v="12"/>
  </r>
  <r>
    <s v="502-carne suina mp"/>
    <x v="2"/>
    <n v="8.6999999999999993"/>
    <n v="16.5701"/>
    <n v="144.15986999999998"/>
    <x v="48"/>
    <x v="12"/>
  </r>
  <r>
    <s v="502-carne suina mp"/>
    <x v="2"/>
    <n v="6"/>
    <n v="16.5701"/>
    <n v="99.420600000000007"/>
    <x v="48"/>
    <x v="12"/>
  </r>
  <r>
    <s v="502-carne suina mp"/>
    <x v="2"/>
    <n v="7.9"/>
    <n v="16.5701"/>
    <n v="130.90379000000001"/>
    <x v="48"/>
    <x v="12"/>
  </r>
  <r>
    <s v="502-carne suina mp"/>
    <x v="2"/>
    <n v="8.65"/>
    <n v="16.5701"/>
    <n v="143.33136500000001"/>
    <x v="48"/>
    <x v="12"/>
  </r>
  <r>
    <s v="502-carne suina mp"/>
    <x v="2"/>
    <n v="8.35"/>
    <n v="16.5701"/>
    <n v="138.36033499999999"/>
    <x v="48"/>
    <x v="12"/>
  </r>
  <r>
    <s v="502-carne suina mp"/>
    <x v="2"/>
    <n v="5.95"/>
    <n v="16.5701"/>
    <n v="98.592095"/>
    <x v="48"/>
    <x v="12"/>
  </r>
  <r>
    <s v="502-carne suina mp"/>
    <x v="2"/>
    <n v="6.15"/>
    <n v="16.5701"/>
    <n v="101.906115"/>
    <x v="48"/>
    <x v="12"/>
  </r>
  <r>
    <s v="502-carne suina mp"/>
    <x v="2"/>
    <n v="16.3"/>
    <n v="16.5701"/>
    <n v="270.09262999999999"/>
    <x v="48"/>
    <x v="12"/>
  </r>
  <r>
    <s v="502-carne suina mp"/>
    <x v="2"/>
    <n v="26.8"/>
    <n v="16.5701"/>
    <n v="444.07868000000002"/>
    <x v="48"/>
    <x v="12"/>
  </r>
  <r>
    <s v="502-carne suina mp"/>
    <x v="2"/>
    <n v="8.35"/>
    <n v="16.5701"/>
    <n v="138.36033499999999"/>
    <x v="48"/>
    <x v="12"/>
  </r>
  <r>
    <s v="502-carne suina mp"/>
    <x v="2"/>
    <n v="6.75"/>
    <n v="16.5701"/>
    <n v="111.848175"/>
    <x v="48"/>
    <x v="12"/>
  </r>
  <r>
    <s v="502-carne suina mp"/>
    <x v="2"/>
    <n v="4.4000000000000004"/>
    <n v="16.5701"/>
    <n v="72.908440000000013"/>
    <x v="48"/>
    <x v="12"/>
  </r>
  <r>
    <s v="502-carne suina mp"/>
    <x v="2"/>
    <n v="9.9"/>
    <n v="16.5701"/>
    <n v="164.04399000000001"/>
    <x v="48"/>
    <x v="12"/>
  </r>
  <r>
    <s v="502-carne suina mp"/>
    <x v="2"/>
    <n v="5.4"/>
    <n v="16.5701"/>
    <n v="89.47854000000001"/>
    <x v="48"/>
    <x v="12"/>
  </r>
  <r>
    <s v="502-carne suina mp"/>
    <x v="2"/>
    <n v="5.2"/>
    <n v="16.5701"/>
    <n v="86.16452000000001"/>
    <x v="48"/>
    <x v="12"/>
  </r>
  <r>
    <s v="502-carne suina mp"/>
    <x v="2"/>
    <n v="9.65"/>
    <n v="16.5701"/>
    <n v="159.901465"/>
    <x v="48"/>
    <x v="12"/>
  </r>
  <r>
    <s v="502-carne suina mp"/>
    <x v="2"/>
    <n v="6.6"/>
    <n v="16.5701"/>
    <n v="109.36265999999999"/>
    <x v="48"/>
    <x v="12"/>
  </r>
  <r>
    <s v="502-carne suina mp"/>
    <x v="2"/>
    <n v="8.3000000000000007"/>
    <n v="16.5701"/>
    <n v="137.53183000000001"/>
    <x v="48"/>
    <x v="12"/>
  </r>
  <r>
    <s v="502-carne suina mp"/>
    <x v="2"/>
    <n v="13.6"/>
    <n v="16.5701"/>
    <n v="225.35335999999998"/>
    <x v="48"/>
    <x v="12"/>
  </r>
  <r>
    <s v="502-carne suina mp"/>
    <x v="2"/>
    <n v="6.3"/>
    <n v="16.5701"/>
    <n v="104.39162999999999"/>
    <x v="48"/>
    <x v="12"/>
  </r>
  <r>
    <s v="502-carne suina mp"/>
    <x v="2"/>
    <n v="10.35"/>
    <n v="16.5701"/>
    <n v="171.50053499999999"/>
    <x v="48"/>
    <x v="12"/>
  </r>
  <r>
    <s v="504-costela suina mp"/>
    <x v="2"/>
    <n v="3.6"/>
    <n v="19.8597"/>
    <n v="71.494920000000008"/>
    <x v="49"/>
    <x v="12"/>
  </r>
  <r>
    <s v="504-costela suina mp"/>
    <x v="2"/>
    <n v="4.6500000000000004"/>
    <n v="19.510000000000002"/>
    <n v="90.72150000000002"/>
    <x v="49"/>
    <x v="12"/>
  </r>
  <r>
    <s v="506-amaciante de carne mp"/>
    <x v="2"/>
    <n v="2.2000000000000002"/>
    <n v="30.122699999999998"/>
    <n v="66.269940000000005"/>
    <x v="50"/>
    <x v="13"/>
  </r>
  <r>
    <s v="516-cafe em po mp"/>
    <x v="2"/>
    <n v="1"/>
    <n v="44.652000000000001"/>
    <n v="44.652000000000001"/>
    <x v="51"/>
    <x v="14"/>
  </r>
  <r>
    <s v="516-cafe em po mp"/>
    <x v="2"/>
    <n v="1.25"/>
    <n v="44.652000000000001"/>
    <n v="55.814999999999998"/>
    <x v="51"/>
    <x v="14"/>
  </r>
  <r>
    <s v="516-cafe em po mp"/>
    <x v="9"/>
    <n v="4"/>
    <n v="3.1616"/>
    <n v="12.6464"/>
    <x v="51"/>
    <x v="14"/>
  </r>
  <r>
    <s v="516-cafe em po mp"/>
    <x v="9"/>
    <n v="4"/>
    <n v="3.1616"/>
    <n v="12.6464"/>
    <x v="51"/>
    <x v="14"/>
  </r>
  <r>
    <s v="519-oleo de soja"/>
    <x v="10"/>
    <n v="36"/>
    <n v="7.49"/>
    <n v="269.64"/>
    <x v="52"/>
    <x v="15"/>
  </r>
  <r>
    <s v="519-oleo de soja"/>
    <x v="10"/>
    <n v="24"/>
    <n v="7.49"/>
    <n v="179.76"/>
    <x v="52"/>
    <x v="15"/>
  </r>
  <r>
    <s v="519-oleo de soja"/>
    <x v="4"/>
    <n v="18"/>
    <n v="8.3222000000000005"/>
    <n v="149.7996"/>
    <x v="52"/>
    <x v="15"/>
  </r>
  <r>
    <s v="519-oleo de soja"/>
    <x v="10"/>
    <n v="20"/>
    <n v="7.49"/>
    <n v="149.80000000000001"/>
    <x v="52"/>
    <x v="15"/>
  </r>
  <r>
    <s v="521-guardanapo"/>
    <x v="11"/>
    <n v="11"/>
    <n v="1.39"/>
    <n v="15.29"/>
    <x v="53"/>
    <x v="16"/>
  </r>
  <r>
    <s v="526-prep polpa maracuja com sement"/>
    <x v="2"/>
    <n v="4"/>
    <n v="25"/>
    <n v="100"/>
    <x v="54"/>
    <x v="17"/>
  </r>
  <r>
    <s v="526-prep polpa maracuja com sement"/>
    <x v="2"/>
    <n v="4"/>
    <n v="25"/>
    <n v="100"/>
    <x v="54"/>
    <x v="17"/>
  </r>
  <r>
    <s v="526-prep polpa maracuja com sement"/>
    <x v="2"/>
    <n v="4"/>
    <n v="25"/>
    <n v="100"/>
    <x v="54"/>
    <x v="17"/>
  </r>
  <r>
    <s v="526-prep polpa maracuja com sement"/>
    <x v="2"/>
    <n v="6"/>
    <n v="25"/>
    <n v="150"/>
    <x v="54"/>
    <x v="17"/>
  </r>
  <r>
    <s v="539-prep cordao file mignon moido"/>
    <x v="2"/>
    <n v="4"/>
    <n v="15"/>
    <n v="60"/>
    <x v="55"/>
    <x v="18"/>
  </r>
  <r>
    <s v="539-prep cordao file mignon moido"/>
    <x v="2"/>
    <n v="3.75"/>
    <n v="15"/>
    <n v="56.25"/>
    <x v="55"/>
    <x v="18"/>
  </r>
  <r>
    <s v="53-HEINEKEN 600ML"/>
    <x v="0"/>
    <n v="48"/>
    <n v="9.5832999999999995"/>
    <n v="459.99839999999995"/>
    <x v="56"/>
    <x v="19"/>
  </r>
  <r>
    <s v="546-prep fraldinha moida"/>
    <x v="2"/>
    <n v="2.9"/>
    <n v="8"/>
    <n v="23.2"/>
    <x v="57"/>
    <x v="18"/>
  </r>
  <r>
    <s v="546-prep fraldinha moida"/>
    <x v="2"/>
    <n v="2.8"/>
    <n v="15"/>
    <n v="42"/>
    <x v="57"/>
    <x v="18"/>
  </r>
  <r>
    <s v="546-prep fraldinha moida"/>
    <x v="2"/>
    <n v="6.3"/>
    <n v="12"/>
    <n v="75.599999999999994"/>
    <x v="57"/>
    <x v="18"/>
  </r>
  <r>
    <s v="549-prep massa fettuccine"/>
    <x v="2"/>
    <n v="1"/>
    <n v="3.6404000000000001"/>
    <n v="3.6404000000000001"/>
    <x v="58"/>
    <x v="18"/>
  </r>
  <r>
    <s v="549-prep massa fettuccine"/>
    <x v="2"/>
    <n v="2.1"/>
    <n v="3.6404000000000001"/>
    <n v="7.6448400000000003"/>
    <x v="58"/>
    <x v="18"/>
  </r>
  <r>
    <s v="549-prep massa fettuccine"/>
    <x v="2"/>
    <n v="5.15"/>
    <n v="3.6606000000000001"/>
    <n v="18.85209"/>
    <x v="58"/>
    <x v="18"/>
  </r>
  <r>
    <s v="549-prep massa fettuccine"/>
    <x v="2"/>
    <n v="6.5"/>
    <n v="3.6606000000000001"/>
    <n v="23.793900000000001"/>
    <x v="58"/>
    <x v="18"/>
  </r>
  <r>
    <s v="549-prep massa fettuccine"/>
    <x v="2"/>
    <n v="6.35"/>
    <n v="3.6265999999999998"/>
    <n v="23.028909999999996"/>
    <x v="58"/>
    <x v="18"/>
  </r>
  <r>
    <s v="549-prep massa fettuccine"/>
    <x v="2"/>
    <n v="8.0500000000000007"/>
    <n v="3.6265999999999998"/>
    <n v="29.194130000000001"/>
    <x v="58"/>
    <x v="18"/>
  </r>
  <r>
    <s v="54-HEINEKEN LN 330ML"/>
    <x v="0"/>
    <n v="24"/>
    <n v="5.9166999999999996"/>
    <n v="142.0008"/>
    <x v="59"/>
    <x v="19"/>
  </r>
  <r>
    <s v="550-prep massa rondelli"/>
    <x v="2"/>
    <n v="6.2"/>
    <n v="3.6606000000000001"/>
    <n v="22.695720000000001"/>
    <x v="60"/>
    <x v="18"/>
  </r>
  <r>
    <s v="550-prep massa rondelli"/>
    <x v="2"/>
    <n v="5.85"/>
    <n v="3.6606000000000001"/>
    <n v="21.41451"/>
    <x v="60"/>
    <x v="18"/>
  </r>
  <r>
    <s v="550-prep massa rondelli"/>
    <x v="2"/>
    <n v="12.5"/>
    <n v="3.6265999999999998"/>
    <n v="45.332499999999996"/>
    <x v="60"/>
    <x v="18"/>
  </r>
  <r>
    <s v="550-prep massa rondelli"/>
    <x v="2"/>
    <n v="9.3000000000000007"/>
    <n v="3.6265999999999998"/>
    <n v="33.727380000000004"/>
    <x v="60"/>
    <x v="18"/>
  </r>
  <r>
    <s v="552-prep molho madeira"/>
    <x v="4"/>
    <n v="4.5"/>
    <n v="6.4602000000000004"/>
    <n v="29.070900000000002"/>
    <x v="61"/>
    <x v="18"/>
  </r>
  <r>
    <s v="552-prep molho madeira"/>
    <x v="4"/>
    <n v="3.05"/>
    <n v="6.4602000000000004"/>
    <n v="19.703610000000001"/>
    <x v="61"/>
    <x v="18"/>
  </r>
  <r>
    <s v="552-prep molho madeira"/>
    <x v="4"/>
    <n v="6"/>
    <n v="6.4554"/>
    <n v="38.732399999999998"/>
    <x v="61"/>
    <x v="18"/>
  </r>
  <r>
    <s v="552-prep molho madeira"/>
    <x v="4"/>
    <n v="8"/>
    <n v="6.4505999999999997"/>
    <n v="51.604799999999997"/>
    <x v="61"/>
    <x v="18"/>
  </r>
  <r>
    <s v="552-prep molho madeira"/>
    <x v="4"/>
    <n v="8"/>
    <n v="6.4505999999999997"/>
    <n v="51.604799999999997"/>
    <x v="61"/>
    <x v="18"/>
  </r>
  <r>
    <s v="554-prep molho vermelho"/>
    <x v="4"/>
    <n v="6"/>
    <n v="6.7930000000000001"/>
    <n v="40.758000000000003"/>
    <x v="62"/>
    <x v="18"/>
  </r>
  <r>
    <s v="554-prep molho vermelho"/>
    <x v="4"/>
    <n v="10"/>
    <n v="6.7930000000000001"/>
    <n v="67.930000000000007"/>
    <x v="62"/>
    <x v="18"/>
  </r>
  <r>
    <s v="554-prep molho vermelho"/>
    <x v="4"/>
    <n v="6"/>
    <n v="6.7931999999999997"/>
    <n v="40.7592"/>
    <x v="62"/>
    <x v="18"/>
  </r>
  <r>
    <s v="554-prep molho vermelho"/>
    <x v="4"/>
    <n v="9.5"/>
    <n v="6.7931999999999997"/>
    <n v="64.535399999999996"/>
    <x v="62"/>
    <x v="18"/>
  </r>
  <r>
    <s v="554-prep molho vermelho"/>
    <x v="4"/>
    <n v="8"/>
    <n v="6.7931999999999997"/>
    <n v="54.345599999999997"/>
    <x v="62"/>
    <x v="18"/>
  </r>
  <r>
    <s v="554-prep molho vermelho"/>
    <x v="4"/>
    <n v="5"/>
    <n v="6.7931999999999997"/>
    <n v="33.966000000000001"/>
    <x v="62"/>
    <x v="18"/>
  </r>
  <r>
    <s v="554-prep molho vermelho"/>
    <x v="4"/>
    <n v="12"/>
    <n v="6.7931999999999997"/>
    <n v="81.5184"/>
    <x v="62"/>
    <x v="18"/>
  </r>
  <r>
    <s v="554-prep molho vermelho"/>
    <x v="4"/>
    <n v="6"/>
    <n v="6.7931999999999997"/>
    <n v="40.7592"/>
    <x v="62"/>
    <x v="18"/>
  </r>
  <r>
    <s v="554-prep molho vermelho"/>
    <x v="4"/>
    <n v="9.5"/>
    <n v="6.7931999999999997"/>
    <n v="64.535399999999996"/>
    <x v="62"/>
    <x v="18"/>
  </r>
  <r>
    <s v="554-prep molho vermelho"/>
    <x v="4"/>
    <n v="8.5"/>
    <n v="6.7931999999999997"/>
    <n v="57.742199999999997"/>
    <x v="62"/>
    <x v="18"/>
  </r>
  <r>
    <s v="554-prep molho vermelho"/>
    <x v="4"/>
    <n v="6"/>
    <n v="6.7931999999999997"/>
    <n v="40.7592"/>
    <x v="62"/>
    <x v="18"/>
  </r>
  <r>
    <s v="554-prep molho vermelho"/>
    <x v="4"/>
    <n v="8"/>
    <n v="6.7931999999999997"/>
    <n v="54.345599999999997"/>
    <x v="62"/>
    <x v="18"/>
  </r>
  <r>
    <s v="554-prep molho vermelho"/>
    <x v="4"/>
    <n v="5.5"/>
    <n v="6.7931999999999997"/>
    <n v="37.3626"/>
    <x v="62"/>
    <x v="18"/>
  </r>
  <r>
    <s v="554-prep molho vermelho"/>
    <x v="4"/>
    <n v="8"/>
    <n v="6.7931999999999997"/>
    <n v="54.345599999999997"/>
    <x v="62"/>
    <x v="18"/>
  </r>
  <r>
    <s v="554-prep molho vermelho"/>
    <x v="4"/>
    <n v="16"/>
    <n v="6.7931999999999997"/>
    <n v="108.69119999999999"/>
    <x v="62"/>
    <x v="18"/>
  </r>
  <r>
    <s v="555-prep oleo de porco"/>
    <x v="4"/>
    <n v="3"/>
    <n v="4"/>
    <n v="12"/>
    <x v="63"/>
    <x v="18"/>
  </r>
  <r>
    <s v="555-prep oleo de porco"/>
    <x v="4"/>
    <n v="3.5"/>
    <n v="6"/>
    <n v="21"/>
    <x v="63"/>
    <x v="18"/>
  </r>
  <r>
    <s v="555-prep oleo de porco"/>
    <x v="4"/>
    <n v="4.5"/>
    <n v="6"/>
    <n v="27"/>
    <x v="63"/>
    <x v="18"/>
  </r>
  <r>
    <s v="568-tilapia limpa mp"/>
    <x v="2"/>
    <n v="7.55"/>
    <n v="17"/>
    <n v="128.35"/>
    <x v="64"/>
    <x v="10"/>
  </r>
  <r>
    <s v="568-tilapia limpa mp"/>
    <x v="2"/>
    <n v="9.6"/>
    <n v="17"/>
    <n v="163.19999999999999"/>
    <x v="64"/>
    <x v="10"/>
  </r>
  <r>
    <s v="568-tilapia limpa mp"/>
    <x v="2"/>
    <n v="13.85"/>
    <n v="17"/>
    <n v="235.45"/>
    <x v="64"/>
    <x v="10"/>
  </r>
  <r>
    <s v="568-tilapia limpa mp"/>
    <x v="2"/>
    <n v="10.15"/>
    <n v="17"/>
    <n v="172.55"/>
    <x v="64"/>
    <x v="10"/>
  </r>
  <r>
    <s v="568-tilapia limpa mp"/>
    <x v="2"/>
    <n v="7.9"/>
    <n v="17"/>
    <n v="134.30000000000001"/>
    <x v="64"/>
    <x v="10"/>
  </r>
  <r>
    <s v="568-tilapia limpa mp"/>
    <x v="2"/>
    <n v="10.8"/>
    <n v="17"/>
    <n v="183.60000000000002"/>
    <x v="64"/>
    <x v="10"/>
  </r>
  <r>
    <s v="568-tilapia limpa mp"/>
    <x v="2"/>
    <n v="15.55"/>
    <n v="17"/>
    <n v="264.35000000000002"/>
    <x v="64"/>
    <x v="10"/>
  </r>
  <r>
    <s v="568-tilapia limpa mp"/>
    <x v="2"/>
    <n v="12.5"/>
    <n v="17"/>
    <n v="212.5"/>
    <x v="64"/>
    <x v="10"/>
  </r>
  <r>
    <s v="568-tilapia limpa mp"/>
    <x v="2"/>
    <n v="19"/>
    <n v="17"/>
    <n v="323"/>
    <x v="64"/>
    <x v="10"/>
  </r>
  <r>
    <s v="568-tilapia limpa mp"/>
    <x v="2"/>
    <n v="7"/>
    <n v="17"/>
    <n v="119"/>
    <x v="64"/>
    <x v="10"/>
  </r>
  <r>
    <s v="588-agua sanitaria"/>
    <x v="4"/>
    <n v="12"/>
    <n v="1.54"/>
    <n v="18.48"/>
    <x v="65"/>
    <x v="20"/>
  </r>
  <r>
    <s v="588-agua sanitaria"/>
    <x v="4"/>
    <n v="12"/>
    <n v="1.54"/>
    <n v="18.48"/>
    <x v="65"/>
    <x v="20"/>
  </r>
  <r>
    <s v="588-agua sanitaria"/>
    <x v="4"/>
    <n v="12"/>
    <n v="1.54"/>
    <n v="18.48"/>
    <x v="65"/>
    <x v="20"/>
  </r>
  <r>
    <s v="588-agua sanitaria"/>
    <x v="4"/>
    <n v="12"/>
    <n v="1.54"/>
    <n v="18.48"/>
    <x v="65"/>
    <x v="20"/>
  </r>
  <r>
    <s v="593-detergente liquido"/>
    <x v="8"/>
    <n v="24"/>
    <n v="2.06"/>
    <n v="49.44"/>
    <x v="66"/>
    <x v="20"/>
  </r>
  <r>
    <s v="593-detergente liquido"/>
    <x v="8"/>
    <n v="24"/>
    <n v="2.06"/>
    <n v="49.44"/>
    <x v="66"/>
    <x v="20"/>
  </r>
  <r>
    <s v="593-detergente liquido"/>
    <x v="8"/>
    <n v="24"/>
    <n v="2.06"/>
    <n v="49.44"/>
    <x v="66"/>
    <x v="20"/>
  </r>
  <r>
    <s v="593-detergente liquido"/>
    <x v="8"/>
    <n v="24"/>
    <n v="3"/>
    <n v="72"/>
    <x v="66"/>
    <x v="20"/>
  </r>
  <r>
    <s v="593-detergente liquido"/>
    <x v="8"/>
    <n v="7"/>
    <n v="2.06"/>
    <n v="14.42"/>
    <x v="66"/>
    <x v="20"/>
  </r>
  <r>
    <s v="593-detergente liquido"/>
    <x v="8"/>
    <n v="24"/>
    <n v="2.06"/>
    <n v="49.44"/>
    <x v="66"/>
    <x v="20"/>
  </r>
  <r>
    <s v="594-esponja de lavar louca"/>
    <x v="0"/>
    <n v="10"/>
    <n v="0.7"/>
    <n v="7"/>
    <x v="67"/>
    <x v="20"/>
  </r>
  <r>
    <s v="594-esponja de lavar louca"/>
    <x v="0"/>
    <n v="10"/>
    <n v="0.7"/>
    <n v="7"/>
    <x v="67"/>
    <x v="20"/>
  </r>
  <r>
    <s v="599-papel higienico"/>
    <x v="11"/>
    <n v="3"/>
    <n v="3.38"/>
    <n v="10.14"/>
    <x v="68"/>
    <x v="20"/>
  </r>
  <r>
    <s v="599-papel higienico"/>
    <x v="11"/>
    <n v="4"/>
    <n v="3.38"/>
    <n v="13.52"/>
    <x v="68"/>
    <x v="20"/>
  </r>
  <r>
    <s v="599-papel higienico"/>
    <x v="11"/>
    <n v="1"/>
    <n v="3.38"/>
    <n v="3.38"/>
    <x v="68"/>
    <x v="20"/>
  </r>
  <r>
    <s v="600-papel toalha"/>
    <x v="12"/>
    <n v="4"/>
    <n v="2.23"/>
    <n v="8.92"/>
    <x v="69"/>
    <x v="16"/>
  </r>
  <r>
    <s v="600-papel toalha"/>
    <x v="12"/>
    <n v="3"/>
    <n v="2.23"/>
    <n v="6.6899999999999995"/>
    <x v="69"/>
    <x v="16"/>
  </r>
  <r>
    <s v="600-papel toalha"/>
    <x v="12"/>
    <n v="4"/>
    <n v="2.23"/>
    <n v="8.92"/>
    <x v="69"/>
    <x v="16"/>
  </r>
  <r>
    <s v="609-prep aipim limpo e cozido"/>
    <x v="2"/>
    <n v="4.0599999999999996"/>
    <n v="6"/>
    <n v="24.36"/>
    <x v="70"/>
    <x v="18"/>
  </r>
  <r>
    <s v="609-prep aipim limpo e cozido"/>
    <x v="2"/>
    <n v="5.4"/>
    <n v="5"/>
    <n v="27"/>
    <x v="70"/>
    <x v="18"/>
  </r>
  <r>
    <s v="632-cachaca velho barreiro mp"/>
    <x v="4"/>
    <n v="3"/>
    <n v="21.516500000000001"/>
    <n v="64.549499999999995"/>
    <x v="71"/>
    <x v="21"/>
  </r>
  <r>
    <s v="635-cachaca ypioca ouro mp"/>
    <x v="13"/>
    <n v="2"/>
    <n v="16.405000000000001"/>
    <n v="32.81"/>
    <x v="72"/>
    <x v="21"/>
  </r>
  <r>
    <s v="657-vodka slova mp"/>
    <x v="4"/>
    <n v="2"/>
    <n v="12.244899999999999"/>
    <n v="24.489799999999999"/>
    <x v="73"/>
    <x v="22"/>
  </r>
  <r>
    <s v="657-vodka slova mp"/>
    <x v="4"/>
    <n v="3"/>
    <n v="11.6531"/>
    <n v="34.959299999999999"/>
    <x v="73"/>
    <x v="22"/>
  </r>
  <r>
    <s v="658-vodka smirnoff mp"/>
    <x v="4"/>
    <n v="2"/>
    <n v="35.5"/>
    <n v="71"/>
    <x v="74"/>
    <x v="22"/>
  </r>
  <r>
    <s v="687-mistura de requeijao mp"/>
    <x v="2"/>
    <n v="1.8"/>
    <n v="24.222200000000001"/>
    <n v="43.599960000000003"/>
    <x v="75"/>
    <x v="9"/>
  </r>
  <r>
    <s v="687-mistura de requeijao mp"/>
    <x v="2"/>
    <n v="1.8"/>
    <n v="24.222200000000001"/>
    <n v="43.599960000000003"/>
    <x v="75"/>
    <x v="9"/>
  </r>
  <r>
    <s v="688-prep farofa"/>
    <x v="2"/>
    <n v="6.3"/>
    <n v="4.9016000000000002"/>
    <n v="30.88008"/>
    <x v="76"/>
    <x v="18"/>
  </r>
  <r>
    <s v="688-prep farofa"/>
    <x v="2"/>
    <n v="8"/>
    <n v="4.9016000000000002"/>
    <n v="39.212800000000001"/>
    <x v="76"/>
    <x v="18"/>
  </r>
  <r>
    <s v="688-prep farofa"/>
    <x v="2"/>
    <n v="3"/>
    <n v="4.9016000000000002"/>
    <n v="14.704800000000001"/>
    <x v="76"/>
    <x v="18"/>
  </r>
  <r>
    <s v="688-prep farofa"/>
    <x v="2"/>
    <n v="4.6500000000000004"/>
    <n v="4.9016000000000002"/>
    <n v="22.792440000000003"/>
    <x v="76"/>
    <x v="18"/>
  </r>
  <r>
    <s v="688-prep farofa"/>
    <x v="2"/>
    <n v="5.55"/>
    <n v="4.9016000000000002"/>
    <n v="27.203880000000002"/>
    <x v="76"/>
    <x v="18"/>
  </r>
  <r>
    <s v="688-prep farofa"/>
    <x v="2"/>
    <n v="9.3000000000000007"/>
    <n v="4.9016000000000002"/>
    <n v="45.584880000000005"/>
    <x v="76"/>
    <x v="18"/>
  </r>
  <r>
    <s v="699-coco verde mp"/>
    <x v="0"/>
    <n v="10"/>
    <n v="2.25"/>
    <n v="22.5"/>
    <x v="77"/>
    <x v="8"/>
  </r>
  <r>
    <s v="831-PETIT GATEAU COM SORVETE"/>
    <x v="0"/>
    <n v="10"/>
    <n v="7"/>
    <n v="70"/>
    <x v="78"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">
  <r>
    <s v="1097-lula mp"/>
    <x v="0"/>
    <n v="1.4"/>
    <n v="15"/>
    <n v="21"/>
    <x v="0"/>
    <x v="0"/>
  </r>
  <r>
    <s v="1099-peixe pargo mp"/>
    <x v="0"/>
    <n v="6"/>
    <n v="20"/>
    <n v="120"/>
    <x v="0"/>
    <x v="0"/>
  </r>
  <r>
    <s v="296-PUDIM DE LEITE CONDENSADO"/>
    <x v="1"/>
    <n v="10"/>
    <n v="8"/>
    <n v="80"/>
    <x v="1"/>
    <x v="1"/>
  </r>
  <r>
    <s v="296-PUDIM DE LEITE CONDENSADO"/>
    <x v="1"/>
    <n v="3"/>
    <n v="9"/>
    <n v="27"/>
    <x v="1"/>
    <x v="1"/>
  </r>
  <r>
    <s v="296-PUDIM DE LEITE CONDENSADO"/>
    <x v="1"/>
    <n v="12"/>
    <n v="9"/>
    <n v="108"/>
    <x v="1"/>
    <x v="1"/>
  </r>
  <r>
    <s v="296-PUDIM DE LEITE CONDENSADO"/>
    <x v="1"/>
    <n v="12"/>
    <n v="9"/>
    <n v="108"/>
    <x v="1"/>
    <x v="1"/>
  </r>
  <r>
    <s v="429-carne de sol mp"/>
    <x v="0"/>
    <n v="2.35"/>
    <n v="46.906700000000001"/>
    <n v="110.230745"/>
    <x v="2"/>
    <x v="2"/>
  </r>
  <r>
    <s v="429-carne de sol mp"/>
    <x v="0"/>
    <n v="1.1499999999999999"/>
    <n v="46.906700000000001"/>
    <n v="53.942704999999997"/>
    <x v="2"/>
    <x v="2"/>
  </r>
  <r>
    <s v="429-carne de sol mp"/>
    <x v="0"/>
    <n v="0.9"/>
    <n v="46.906700000000001"/>
    <n v="42.216030000000003"/>
    <x v="2"/>
    <x v="2"/>
  </r>
  <r>
    <s v="429-carne de sol mp"/>
    <x v="0"/>
    <n v="1.95"/>
    <n v="46.906700000000001"/>
    <n v="91.468064999999996"/>
    <x v="2"/>
    <x v="2"/>
  </r>
  <r>
    <s v="429-carne de sol mp"/>
    <x v="0"/>
    <n v="1.3"/>
    <n v="46.906700000000001"/>
    <n v="60.97871"/>
    <x v="2"/>
    <x v="2"/>
  </r>
  <r>
    <s v="430-contra file mp"/>
    <x v="0"/>
    <n v="16.100000000000001"/>
    <n v="42.89"/>
    <n v="690.52900000000011"/>
    <x v="3"/>
    <x v="2"/>
  </r>
  <r>
    <s v="430-contra file mp"/>
    <x v="0"/>
    <n v="23.74"/>
    <n v="42.89"/>
    <n v="1018.2085999999999"/>
    <x v="3"/>
    <x v="2"/>
  </r>
  <r>
    <s v="430-contra file mp"/>
    <x v="0"/>
    <n v="9.25"/>
    <n v="42.89"/>
    <n v="396.73250000000002"/>
    <x v="3"/>
    <x v="2"/>
  </r>
  <r>
    <s v="430-contra file mp"/>
    <x v="0"/>
    <n v="22.457999999999998"/>
    <n v="39"/>
    <n v="875.86199999999997"/>
    <x v="3"/>
    <x v="2"/>
  </r>
  <r>
    <s v="430-contra file mp"/>
    <x v="0"/>
    <n v="10.15"/>
    <n v="41.89"/>
    <n v="425.18350000000004"/>
    <x v="3"/>
    <x v="2"/>
  </r>
  <r>
    <s v="430-contra file mp"/>
    <x v="0"/>
    <n v="23.14"/>
    <n v="41.89"/>
    <n v="969.33460000000002"/>
    <x v="3"/>
    <x v="2"/>
  </r>
  <r>
    <s v="430-contra file mp"/>
    <x v="0"/>
    <n v="14.9"/>
    <n v="41.89"/>
    <n v="624.16100000000006"/>
    <x v="3"/>
    <x v="2"/>
  </r>
  <r>
    <s v="430-contra file mp"/>
    <x v="0"/>
    <n v="14.8"/>
    <n v="41.89"/>
    <n v="619.97200000000009"/>
    <x v="3"/>
    <x v="2"/>
  </r>
  <r>
    <s v="430-contra file mp"/>
    <x v="0"/>
    <n v="17"/>
    <n v="41"/>
    <n v="697"/>
    <x v="3"/>
    <x v="2"/>
  </r>
  <r>
    <s v="430-contra file mp"/>
    <x v="0"/>
    <n v="25.3"/>
    <n v="41"/>
    <n v="1037.3"/>
    <x v="3"/>
    <x v="2"/>
  </r>
  <r>
    <s v="430-contra file mp"/>
    <x v="0"/>
    <n v="15.4"/>
    <n v="41"/>
    <n v="631.4"/>
    <x v="3"/>
    <x v="2"/>
  </r>
  <r>
    <s v="430-contra file mp"/>
    <x v="0"/>
    <n v="8.4"/>
    <n v="41"/>
    <n v="344.40000000000003"/>
    <x v="3"/>
    <x v="2"/>
  </r>
  <r>
    <s v="430-contra file mp"/>
    <x v="0"/>
    <n v="11"/>
    <n v="39.89"/>
    <n v="438.79"/>
    <x v="3"/>
    <x v="2"/>
  </r>
  <r>
    <s v="430-contra file mp"/>
    <x v="0"/>
    <n v="17.5"/>
    <n v="39.89"/>
    <n v="698.07500000000005"/>
    <x v="3"/>
    <x v="2"/>
  </r>
  <r>
    <s v="430-contra file mp"/>
    <x v="0"/>
    <n v="17"/>
    <n v="39"/>
    <n v="663"/>
    <x v="3"/>
    <x v="2"/>
  </r>
  <r>
    <s v="432-file mignon mp"/>
    <x v="0"/>
    <n v="5.45"/>
    <n v="65"/>
    <n v="354.25"/>
    <x v="4"/>
    <x v="2"/>
  </r>
  <r>
    <s v="432-file mignon mp"/>
    <x v="0"/>
    <n v="5.35"/>
    <n v="65"/>
    <n v="347.75"/>
    <x v="4"/>
    <x v="2"/>
  </r>
  <r>
    <s v="432-file mignon mp"/>
    <x v="0"/>
    <n v="11.5"/>
    <n v="65"/>
    <n v="747.5"/>
    <x v="4"/>
    <x v="2"/>
  </r>
  <r>
    <s v="432-file mignon mp"/>
    <x v="0"/>
    <n v="4.0999999999999996"/>
    <n v="65"/>
    <n v="266.5"/>
    <x v="4"/>
    <x v="2"/>
  </r>
  <r>
    <s v="432-file mignon mp"/>
    <x v="0"/>
    <n v="5"/>
    <n v="64.990200000000002"/>
    <n v="324.95100000000002"/>
    <x v="4"/>
    <x v="2"/>
  </r>
  <r>
    <s v="432-file mignon mp"/>
    <x v="0"/>
    <n v="2.5"/>
    <n v="64.990200000000002"/>
    <n v="162.47550000000001"/>
    <x v="4"/>
    <x v="2"/>
  </r>
  <r>
    <s v="432-file mignon mp"/>
    <x v="0"/>
    <n v="1.65"/>
    <n v="64.990200000000002"/>
    <n v="107.23383"/>
    <x v="4"/>
    <x v="2"/>
  </r>
  <r>
    <s v="432-file mignon mp"/>
    <x v="0"/>
    <n v="2.65"/>
    <n v="64.990200000000002"/>
    <n v="172.22403"/>
    <x v="4"/>
    <x v="2"/>
  </r>
  <r>
    <s v="432-file mignon mp"/>
    <x v="0"/>
    <n v="2.7"/>
    <n v="65"/>
    <n v="175.5"/>
    <x v="4"/>
    <x v="2"/>
  </r>
  <r>
    <s v="432-file mignon mp"/>
    <x v="0"/>
    <n v="2.2999999999999998"/>
    <n v="65"/>
    <n v="149.5"/>
    <x v="4"/>
    <x v="2"/>
  </r>
  <r>
    <s v="432-file mignon mp"/>
    <x v="0"/>
    <n v="3.15"/>
    <n v="65"/>
    <n v="204.75"/>
    <x v="4"/>
    <x v="2"/>
  </r>
  <r>
    <s v="434-picanha importada mp"/>
    <x v="0"/>
    <n v="2"/>
    <n v="92.170400000000001"/>
    <n v="184.3408"/>
    <x v="5"/>
    <x v="2"/>
  </r>
  <r>
    <s v="434-picanha importada mp"/>
    <x v="0"/>
    <n v="5.15"/>
    <n v="92.170400000000001"/>
    <n v="474.67756000000003"/>
    <x v="5"/>
    <x v="2"/>
  </r>
  <r>
    <s v="434-picanha importada mp"/>
    <x v="0"/>
    <n v="4.2"/>
    <n v="92.170400000000001"/>
    <n v="387.11568"/>
    <x v="5"/>
    <x v="2"/>
  </r>
  <r>
    <s v="434-picanha importada mp"/>
    <x v="0"/>
    <n v="9.4499999999999993"/>
    <n v="92.168000000000006"/>
    <n v="870.98760000000004"/>
    <x v="5"/>
    <x v="2"/>
  </r>
  <r>
    <s v="434-picanha importada mp"/>
    <x v="0"/>
    <n v="4.45"/>
    <n v="92.168000000000006"/>
    <n v="410.14760000000007"/>
    <x v="5"/>
    <x v="2"/>
  </r>
  <r>
    <s v="434-picanha importada mp"/>
    <x v="0"/>
    <n v="9.35"/>
    <n v="96.048900000000003"/>
    <n v="898.05721500000004"/>
    <x v="5"/>
    <x v="2"/>
  </r>
  <r>
    <s v="434-picanha importada mp"/>
    <x v="0"/>
    <n v="1.3"/>
    <n v="96.048900000000003"/>
    <n v="124.86357000000001"/>
    <x v="5"/>
    <x v="2"/>
  </r>
  <r>
    <s v="434-picanha importada mp"/>
    <x v="0"/>
    <n v="3.8"/>
    <n v="92.168000000000006"/>
    <n v="350.23840000000001"/>
    <x v="5"/>
    <x v="2"/>
  </r>
  <r>
    <s v="434-picanha importada mp"/>
    <x v="0"/>
    <n v="6.7"/>
    <n v="93.364199999999997"/>
    <n v="625.54013999999995"/>
    <x v="5"/>
    <x v="2"/>
  </r>
  <r>
    <s v="434-picanha importada mp"/>
    <x v="0"/>
    <n v="2.65"/>
    <n v="93.364199999999997"/>
    <n v="247.41512999999998"/>
    <x v="5"/>
    <x v="2"/>
  </r>
  <r>
    <s v="434-picanha importada mp"/>
    <x v="0"/>
    <n v="8.1999999999999993"/>
    <n v="93.0899"/>
    <n v="763.33717999999999"/>
    <x v="5"/>
    <x v="2"/>
  </r>
  <r>
    <s v="436-batata pre frita mp"/>
    <x v="0"/>
    <n v="12"/>
    <n v="12.9543"/>
    <n v="155.45159999999998"/>
    <x v="6"/>
    <x v="3"/>
  </r>
  <r>
    <s v="436-batata pre frita mp"/>
    <x v="0"/>
    <n v="12"/>
    <n v="12.9543"/>
    <n v="155.45159999999998"/>
    <x v="6"/>
    <x v="3"/>
  </r>
  <r>
    <s v="436-batata pre frita mp"/>
    <x v="0"/>
    <n v="12"/>
    <n v="12.953900000000001"/>
    <n v="155.4468"/>
    <x v="6"/>
    <x v="3"/>
  </r>
  <r>
    <s v="436-batata pre frita mp"/>
    <x v="0"/>
    <n v="24"/>
    <n v="12.953900000000001"/>
    <n v="310.89359999999999"/>
    <x v="6"/>
    <x v="3"/>
  </r>
  <r>
    <s v="436-batata pre frita mp"/>
    <x v="0"/>
    <n v="12"/>
    <n v="12.953900000000001"/>
    <n v="155.4468"/>
    <x v="6"/>
    <x v="3"/>
  </r>
  <r>
    <s v="436-batata pre frita mp"/>
    <x v="0"/>
    <n v="12"/>
    <n v="12.953900000000001"/>
    <n v="155.4468"/>
    <x v="6"/>
    <x v="3"/>
  </r>
  <r>
    <s v="436-batata pre frita mp"/>
    <x v="0"/>
    <n v="24"/>
    <n v="10.596500000000001"/>
    <n v="254.31600000000003"/>
    <x v="6"/>
    <x v="3"/>
  </r>
  <r>
    <s v="436-batata pre frita mp"/>
    <x v="0"/>
    <n v="12"/>
    <n v="10.596500000000001"/>
    <n v="127.15800000000002"/>
    <x v="6"/>
    <x v="3"/>
  </r>
  <r>
    <s v="436-batata pre frita mp"/>
    <x v="0"/>
    <n v="24"/>
    <n v="12.953900000000001"/>
    <n v="310.89359999999999"/>
    <x v="6"/>
    <x v="3"/>
  </r>
  <r>
    <s v="436-batata pre frita mp"/>
    <x v="0"/>
    <n v="12"/>
    <n v="12.953900000000001"/>
    <n v="155.4468"/>
    <x v="6"/>
    <x v="3"/>
  </r>
  <r>
    <s v="436-batata pre frita mp"/>
    <x v="0"/>
    <n v="12"/>
    <n v="10.199999999999999"/>
    <n v="122.39999999999999"/>
    <x v="6"/>
    <x v="3"/>
  </r>
  <r>
    <s v="436-batata pre frita mp"/>
    <x v="0"/>
    <n v="28"/>
    <n v="11.799300000000001"/>
    <n v="330.38040000000001"/>
    <x v="6"/>
    <x v="3"/>
  </r>
  <r>
    <s v="436-batata pre frita mp"/>
    <x v="0"/>
    <n v="12"/>
    <n v="11.799300000000001"/>
    <n v="141.5916"/>
    <x v="6"/>
    <x v="3"/>
  </r>
  <r>
    <s v="436-batata pre frita mp"/>
    <x v="0"/>
    <n v="12"/>
    <n v="11.799300000000001"/>
    <n v="141.5916"/>
    <x v="6"/>
    <x v="3"/>
  </r>
  <r>
    <s v="436-batata pre frita mp"/>
    <x v="0"/>
    <n v="12"/>
    <n v="11.799300000000001"/>
    <n v="141.5916"/>
    <x v="6"/>
    <x v="3"/>
  </r>
  <r>
    <s v="438-cogumelo champignon mp"/>
    <x v="0"/>
    <n v="3"/>
    <n v="30.822399999999998"/>
    <n v="92.467199999999991"/>
    <x v="7"/>
    <x v="4"/>
  </r>
  <r>
    <s v="440-lanche apresuntado mp"/>
    <x v="0"/>
    <n v="5"/>
    <n v="6.99"/>
    <n v="34.950000000000003"/>
    <x v="8"/>
    <x v="5"/>
  </r>
  <r>
    <s v="440-lanche apresuntado mp"/>
    <x v="0"/>
    <n v="5"/>
    <n v="7.19"/>
    <n v="35.950000000000003"/>
    <x v="8"/>
    <x v="5"/>
  </r>
  <r>
    <s v="441-linguica calabresa mp"/>
    <x v="0"/>
    <n v="1.35"/>
    <n v="22.94"/>
    <n v="30.969000000000005"/>
    <x v="9"/>
    <x v="5"/>
  </r>
  <r>
    <s v="441-linguica calabresa mp"/>
    <x v="0"/>
    <n v="2.1"/>
    <n v="22.94"/>
    <n v="48.174000000000007"/>
    <x v="9"/>
    <x v="5"/>
  </r>
  <r>
    <s v="441-linguica calabresa mp"/>
    <x v="0"/>
    <n v="5"/>
    <n v="21.57"/>
    <n v="107.85"/>
    <x v="9"/>
    <x v="5"/>
  </r>
  <r>
    <s v="442-linguica suina mp"/>
    <x v="0"/>
    <n v="10"/>
    <n v="18.53"/>
    <n v="185.3"/>
    <x v="10"/>
    <x v="5"/>
  </r>
  <r>
    <s v="442-linguica suina mp"/>
    <x v="0"/>
    <n v="5"/>
    <n v="18.53"/>
    <n v="92.65"/>
    <x v="10"/>
    <x v="5"/>
  </r>
  <r>
    <s v="442-linguica suina mp"/>
    <x v="0"/>
    <n v="5"/>
    <n v="18.53"/>
    <n v="92.65"/>
    <x v="10"/>
    <x v="5"/>
  </r>
  <r>
    <s v="442-linguica suina mp"/>
    <x v="0"/>
    <n v="10"/>
    <n v="18.53"/>
    <n v="185.3"/>
    <x v="10"/>
    <x v="5"/>
  </r>
  <r>
    <s v="442-linguica suina mp"/>
    <x v="0"/>
    <n v="5"/>
    <n v="16.655000000000001"/>
    <n v="83.275000000000006"/>
    <x v="10"/>
    <x v="5"/>
  </r>
  <r>
    <s v="442-linguica suina mp"/>
    <x v="0"/>
    <n v="5"/>
    <n v="17.13"/>
    <n v="85.649999999999991"/>
    <x v="10"/>
    <x v="5"/>
  </r>
  <r>
    <s v="442-linguica suina mp"/>
    <x v="0"/>
    <n v="10"/>
    <n v="17.13"/>
    <n v="171.29999999999998"/>
    <x v="10"/>
    <x v="5"/>
  </r>
  <r>
    <s v="442-linguica suina mp"/>
    <x v="0"/>
    <n v="5"/>
    <n v="17.13"/>
    <n v="85.649999999999991"/>
    <x v="10"/>
    <x v="5"/>
  </r>
  <r>
    <s v="442-linguica suina mp"/>
    <x v="0"/>
    <n v="5"/>
    <n v="16.655000000000001"/>
    <n v="83.275000000000006"/>
    <x v="10"/>
    <x v="5"/>
  </r>
  <r>
    <s v="442-linguica suina mp"/>
    <x v="0"/>
    <n v="10"/>
    <n v="17.420000000000002"/>
    <n v="174.20000000000002"/>
    <x v="10"/>
    <x v="5"/>
  </r>
  <r>
    <s v="445-coxa e sobrecoxa mp"/>
    <x v="0"/>
    <n v="5.7"/>
    <n v="8.7899999999999991"/>
    <n v="50.102999999999994"/>
    <x v="11"/>
    <x v="6"/>
  </r>
  <r>
    <s v="445-coxa e sobrecoxa mp"/>
    <x v="0"/>
    <n v="5.0999999999999996"/>
    <n v="9.3896999999999995"/>
    <n v="47.887469999999993"/>
    <x v="11"/>
    <x v="6"/>
  </r>
  <r>
    <s v="446-file de peito de frango mp"/>
    <x v="0"/>
    <n v="15"/>
    <n v="17.414999999999999"/>
    <n v="261.22499999999997"/>
    <x v="12"/>
    <x v="6"/>
  </r>
  <r>
    <s v="446-file de peito de frango mp"/>
    <x v="0"/>
    <n v="15"/>
    <n v="17.414999999999999"/>
    <n v="261.22499999999997"/>
    <x v="12"/>
    <x v="6"/>
  </r>
  <r>
    <s v="446-file de peito de frango mp"/>
    <x v="0"/>
    <n v="15"/>
    <n v="17.414999999999999"/>
    <n v="261.22499999999997"/>
    <x v="12"/>
    <x v="6"/>
  </r>
  <r>
    <s v="446-file de peito de frango mp"/>
    <x v="0"/>
    <n v="15"/>
    <n v="17.414999999999999"/>
    <n v="261.22499999999997"/>
    <x v="12"/>
    <x v="6"/>
  </r>
  <r>
    <s v="446-file de peito de frango mp"/>
    <x v="0"/>
    <n v="15"/>
    <n v="17.414999999999999"/>
    <n v="261.22499999999997"/>
    <x v="12"/>
    <x v="6"/>
  </r>
  <r>
    <s v="446-file de peito de frango mp"/>
    <x v="0"/>
    <n v="20"/>
    <n v="16.119"/>
    <n v="322.38"/>
    <x v="12"/>
    <x v="6"/>
  </r>
  <r>
    <s v="446-file de peito de frango mp"/>
    <x v="0"/>
    <n v="13.5"/>
    <n v="25"/>
    <n v="337.5"/>
    <x v="12"/>
    <x v="6"/>
  </r>
  <r>
    <s v="446-file de peito de frango mp"/>
    <x v="0"/>
    <n v="15"/>
    <n v="16.119"/>
    <n v="241.785"/>
    <x v="12"/>
    <x v="6"/>
  </r>
  <r>
    <s v="446-file de peito de frango mp"/>
    <x v="0"/>
    <n v="15"/>
    <n v="16.119"/>
    <n v="241.785"/>
    <x v="12"/>
    <x v="6"/>
  </r>
  <r>
    <s v="446-file de peito de frango mp"/>
    <x v="0"/>
    <n v="15"/>
    <n v="16.119"/>
    <n v="241.785"/>
    <x v="12"/>
    <x v="6"/>
  </r>
  <r>
    <s v="447-frango inteiro mp"/>
    <x v="0"/>
    <n v="6.6"/>
    <n v="9.9708000000000006"/>
    <n v="65.807280000000006"/>
    <x v="13"/>
    <x v="6"/>
  </r>
  <r>
    <s v="447-frango inteiro mp"/>
    <x v="0"/>
    <n v="5.2"/>
    <n v="9.9708000000000006"/>
    <n v="51.848160000000007"/>
    <x v="13"/>
    <x v="6"/>
  </r>
  <r>
    <s v="447-frango inteiro mp"/>
    <x v="0"/>
    <n v="4.8"/>
    <n v="9.9708000000000006"/>
    <n v="47.859839999999998"/>
    <x v="13"/>
    <x v="6"/>
  </r>
  <r>
    <s v="450-coentro mp"/>
    <x v="0"/>
    <n v="0.9"/>
    <n v="1.55"/>
    <n v="1.395"/>
    <x v="14"/>
    <x v="7"/>
  </r>
  <r>
    <s v="450-coentro mp"/>
    <x v="0"/>
    <n v="0.75"/>
    <n v="1.55"/>
    <n v="1.1625000000000001"/>
    <x v="14"/>
    <x v="7"/>
  </r>
  <r>
    <s v="450-coentro mp"/>
    <x v="0"/>
    <n v="2.15"/>
    <n v="1.55"/>
    <n v="3.3325"/>
    <x v="14"/>
    <x v="7"/>
  </r>
  <r>
    <s v="450-coentro mp"/>
    <x v="0"/>
    <n v="1.5"/>
    <n v="1.55"/>
    <n v="2.3250000000000002"/>
    <x v="14"/>
    <x v="7"/>
  </r>
  <r>
    <s v="450-coentro mp"/>
    <x v="0"/>
    <n v="0.95"/>
    <n v="1.55"/>
    <n v="1.4724999999999999"/>
    <x v="14"/>
    <x v="7"/>
  </r>
  <r>
    <s v="450-coentro mp"/>
    <x v="0"/>
    <n v="1.1499999999999999"/>
    <n v="1.55"/>
    <n v="1.7825"/>
    <x v="14"/>
    <x v="7"/>
  </r>
  <r>
    <s v="450-coentro mp"/>
    <x v="0"/>
    <n v="1.05"/>
    <n v="1.55"/>
    <n v="1.6275000000000002"/>
    <x v="14"/>
    <x v="7"/>
  </r>
  <r>
    <s v="450-coentro mp"/>
    <x v="0"/>
    <n v="1.35"/>
    <n v="1.55"/>
    <n v="2.0925000000000002"/>
    <x v="14"/>
    <x v="7"/>
  </r>
  <r>
    <s v="450-coentro mp"/>
    <x v="0"/>
    <n v="0.9"/>
    <n v="1.55"/>
    <n v="1.395"/>
    <x v="14"/>
    <x v="7"/>
  </r>
  <r>
    <s v="450-coentro mp"/>
    <x v="0"/>
    <n v="1.1000000000000001"/>
    <n v="1.55"/>
    <n v="1.7050000000000003"/>
    <x v="14"/>
    <x v="7"/>
  </r>
  <r>
    <s v="450-coentro mp"/>
    <x v="0"/>
    <n v="1.3"/>
    <n v="1.55"/>
    <n v="2.0150000000000001"/>
    <x v="14"/>
    <x v="7"/>
  </r>
  <r>
    <s v="450-coentro mp"/>
    <x v="0"/>
    <n v="0.9"/>
    <n v="1.55"/>
    <n v="1.395"/>
    <x v="14"/>
    <x v="7"/>
  </r>
  <r>
    <s v="450-coentro mp"/>
    <x v="0"/>
    <n v="1"/>
    <n v="1.55"/>
    <n v="1.55"/>
    <x v="14"/>
    <x v="7"/>
  </r>
  <r>
    <s v="450-coentro mp"/>
    <x v="0"/>
    <n v="1.1200000000000001"/>
    <n v="1.55"/>
    <n v="1.7360000000000002"/>
    <x v="14"/>
    <x v="7"/>
  </r>
  <r>
    <s v="453-pimentao mp"/>
    <x v="0"/>
    <n v="3.6"/>
    <n v="2.5"/>
    <n v="9"/>
    <x v="15"/>
    <x v="7"/>
  </r>
  <r>
    <s v="453-pimentao mp"/>
    <x v="0"/>
    <n v="4.4000000000000004"/>
    <n v="3.5"/>
    <n v="15.400000000000002"/>
    <x v="15"/>
    <x v="7"/>
  </r>
  <r>
    <s v="453-pimentao mp"/>
    <x v="0"/>
    <n v="2.1"/>
    <n v="2.5"/>
    <n v="5.25"/>
    <x v="15"/>
    <x v="7"/>
  </r>
  <r>
    <s v="453-pimentao mp"/>
    <x v="0"/>
    <n v="4.1500000000000004"/>
    <n v="2.5"/>
    <n v="10.375"/>
    <x v="15"/>
    <x v="7"/>
  </r>
  <r>
    <s v="453-pimentao mp"/>
    <x v="0"/>
    <n v="3.45"/>
    <n v="3"/>
    <n v="10.350000000000001"/>
    <x v="15"/>
    <x v="7"/>
  </r>
  <r>
    <s v="453-pimentao mp"/>
    <x v="0"/>
    <n v="1.9"/>
    <n v="2.5"/>
    <n v="4.75"/>
    <x v="15"/>
    <x v="7"/>
  </r>
  <r>
    <s v="453-pimentao mp"/>
    <x v="0"/>
    <n v="2.4500000000000002"/>
    <n v="2.5"/>
    <n v="6.125"/>
    <x v="15"/>
    <x v="7"/>
  </r>
  <r>
    <s v="453-pimentao mp"/>
    <x v="0"/>
    <n v="3.3"/>
    <n v="4"/>
    <n v="13.2"/>
    <x v="15"/>
    <x v="7"/>
  </r>
  <r>
    <s v="453-pimentao mp"/>
    <x v="0"/>
    <n v="5.0999999999999996"/>
    <n v="3"/>
    <n v="15.299999999999999"/>
    <x v="15"/>
    <x v="7"/>
  </r>
  <r>
    <s v="453-pimentao mp"/>
    <x v="0"/>
    <n v="2.8"/>
    <n v="2.5"/>
    <n v="7"/>
    <x v="15"/>
    <x v="7"/>
  </r>
  <r>
    <s v="453-pimentao mp"/>
    <x v="0"/>
    <n v="3.5"/>
    <n v="4"/>
    <n v="14"/>
    <x v="15"/>
    <x v="7"/>
  </r>
  <r>
    <s v="453-pimentao mp"/>
    <x v="0"/>
    <n v="4.3"/>
    <n v="2.5"/>
    <n v="10.75"/>
    <x v="15"/>
    <x v="7"/>
  </r>
  <r>
    <s v="454-tomate mp"/>
    <x v="0"/>
    <n v="8.5"/>
    <n v="7"/>
    <n v="59.5"/>
    <x v="16"/>
    <x v="7"/>
  </r>
  <r>
    <s v="454-tomate mp"/>
    <x v="0"/>
    <n v="5.45"/>
    <n v="7"/>
    <n v="38.15"/>
    <x v="16"/>
    <x v="7"/>
  </r>
  <r>
    <s v="454-tomate mp"/>
    <x v="0"/>
    <n v="6.4"/>
    <n v="7"/>
    <n v="44.800000000000004"/>
    <x v="16"/>
    <x v="7"/>
  </r>
  <r>
    <s v="454-tomate mp"/>
    <x v="0"/>
    <n v="8.15"/>
    <n v="7"/>
    <n v="57.050000000000004"/>
    <x v="16"/>
    <x v="7"/>
  </r>
  <r>
    <s v="454-tomate mp"/>
    <x v="0"/>
    <n v="9.5500000000000007"/>
    <n v="7"/>
    <n v="66.850000000000009"/>
    <x v="16"/>
    <x v="7"/>
  </r>
  <r>
    <s v="454-tomate mp"/>
    <x v="0"/>
    <n v="5.85"/>
    <n v="7"/>
    <n v="40.949999999999996"/>
    <x v="16"/>
    <x v="7"/>
  </r>
  <r>
    <s v="454-tomate mp"/>
    <x v="0"/>
    <n v="5.5"/>
    <n v="7"/>
    <n v="38.5"/>
    <x v="16"/>
    <x v="7"/>
  </r>
  <r>
    <s v="454-tomate mp"/>
    <x v="0"/>
    <n v="23"/>
    <n v="7"/>
    <n v="161"/>
    <x v="16"/>
    <x v="7"/>
  </r>
  <r>
    <s v="454-tomate mp"/>
    <x v="0"/>
    <n v="6.1"/>
    <n v="7"/>
    <n v="42.699999999999996"/>
    <x v="16"/>
    <x v="7"/>
  </r>
  <r>
    <s v="454-tomate mp"/>
    <x v="0"/>
    <n v="8.1"/>
    <n v="7"/>
    <n v="56.699999999999996"/>
    <x v="16"/>
    <x v="7"/>
  </r>
  <r>
    <s v="454-tomate mp"/>
    <x v="0"/>
    <n v="6.6"/>
    <n v="7"/>
    <n v="46.199999999999996"/>
    <x v="16"/>
    <x v="7"/>
  </r>
  <r>
    <s v="454-tomate mp"/>
    <x v="0"/>
    <n v="10"/>
    <n v="7"/>
    <n v="70"/>
    <x v="16"/>
    <x v="7"/>
  </r>
  <r>
    <s v="454-tomate mp"/>
    <x v="0"/>
    <n v="6.5"/>
    <n v="7"/>
    <n v="45.5"/>
    <x v="16"/>
    <x v="7"/>
  </r>
  <r>
    <s v="456-limao mp"/>
    <x v="0"/>
    <n v="5.8"/>
    <n v="4"/>
    <n v="23.2"/>
    <x v="17"/>
    <x v="7"/>
  </r>
  <r>
    <s v="456-limao mp"/>
    <x v="0"/>
    <n v="5.15"/>
    <n v="4"/>
    <n v="20.6"/>
    <x v="17"/>
    <x v="7"/>
  </r>
  <r>
    <s v="456-limao mp"/>
    <x v="0"/>
    <n v="3"/>
    <n v="4"/>
    <n v="12"/>
    <x v="17"/>
    <x v="7"/>
  </r>
  <r>
    <s v="456-limao mp"/>
    <x v="0"/>
    <n v="5.5"/>
    <n v="4"/>
    <n v="22"/>
    <x v="17"/>
    <x v="7"/>
  </r>
  <r>
    <s v="456-limao mp"/>
    <x v="0"/>
    <n v="7.8"/>
    <n v="4"/>
    <n v="31.2"/>
    <x v="17"/>
    <x v="7"/>
  </r>
  <r>
    <s v="456-limao mp"/>
    <x v="0"/>
    <n v="5.7"/>
    <n v="4"/>
    <n v="22.8"/>
    <x v="17"/>
    <x v="7"/>
  </r>
  <r>
    <s v="456-limao mp"/>
    <x v="0"/>
    <n v="4.4800000000000004"/>
    <n v="4"/>
    <n v="17.920000000000002"/>
    <x v="17"/>
    <x v="7"/>
  </r>
  <r>
    <s v="459-abacaxi mp"/>
    <x v="1"/>
    <n v="3"/>
    <n v="3.6111"/>
    <n v="10.833299999999999"/>
    <x v="18"/>
    <x v="7"/>
  </r>
  <r>
    <s v="459-abacaxi mp"/>
    <x v="1"/>
    <n v="4"/>
    <n v="3.6111"/>
    <n v="14.4444"/>
    <x v="18"/>
    <x v="7"/>
  </r>
  <r>
    <s v="459-abacaxi mp"/>
    <x v="1"/>
    <n v="3"/>
    <n v="3.6111"/>
    <n v="10.833299999999999"/>
    <x v="18"/>
    <x v="7"/>
  </r>
  <r>
    <s v="459-abacaxi mp"/>
    <x v="1"/>
    <n v="3"/>
    <n v="3.6111"/>
    <n v="10.833299999999999"/>
    <x v="18"/>
    <x v="7"/>
  </r>
  <r>
    <s v="459-abacaxi mp"/>
    <x v="1"/>
    <n v="3"/>
    <n v="3.6111"/>
    <n v="10.833299999999999"/>
    <x v="18"/>
    <x v="7"/>
  </r>
  <r>
    <s v="459-abacaxi mp"/>
    <x v="1"/>
    <n v="2.13"/>
    <n v="3.6111"/>
    <n v="7.691643"/>
    <x v="18"/>
    <x v="7"/>
  </r>
  <r>
    <s v="460-aipim mp"/>
    <x v="0"/>
    <n v="2.85"/>
    <n v="3.7837999999999998"/>
    <n v="10.78383"/>
    <x v="19"/>
    <x v="7"/>
  </r>
  <r>
    <s v="461-alface mp"/>
    <x v="0"/>
    <n v="0.85"/>
    <n v="0.75"/>
    <n v="0.63749999999999996"/>
    <x v="20"/>
    <x v="7"/>
  </r>
  <r>
    <s v="461-alface mp"/>
    <x v="0"/>
    <n v="0.85"/>
    <n v="0.75"/>
    <n v="0.63749999999999996"/>
    <x v="20"/>
    <x v="7"/>
  </r>
  <r>
    <s v="461-alface mp"/>
    <x v="0"/>
    <n v="1.3"/>
    <n v="0.75"/>
    <n v="0.97500000000000009"/>
    <x v="20"/>
    <x v="7"/>
  </r>
  <r>
    <s v="461-alface mp"/>
    <x v="0"/>
    <n v="1.1499999999999999"/>
    <n v="0.75"/>
    <n v="0.86249999999999993"/>
    <x v="20"/>
    <x v="7"/>
  </r>
  <r>
    <s v="461-alface mp"/>
    <x v="0"/>
    <n v="0.65"/>
    <n v="0.75"/>
    <n v="0.48750000000000004"/>
    <x v="20"/>
    <x v="7"/>
  </r>
  <r>
    <s v="461-alface mp"/>
    <x v="0"/>
    <n v="1.1499999999999999"/>
    <n v="0.75"/>
    <n v="0.86249999999999993"/>
    <x v="20"/>
    <x v="7"/>
  </r>
  <r>
    <s v="461-alface mp"/>
    <x v="0"/>
    <n v="1.25"/>
    <n v="0.75"/>
    <n v="0.9375"/>
    <x v="20"/>
    <x v="7"/>
  </r>
  <r>
    <s v="461-alface mp"/>
    <x v="0"/>
    <n v="0.9"/>
    <n v="0.75"/>
    <n v="0.67500000000000004"/>
    <x v="20"/>
    <x v="7"/>
  </r>
  <r>
    <s v="461-alface mp"/>
    <x v="0"/>
    <n v="4.1500000000000004"/>
    <n v="0.75"/>
    <n v="3.1125000000000003"/>
    <x v="20"/>
    <x v="7"/>
  </r>
  <r>
    <s v="461-alface mp"/>
    <x v="0"/>
    <n v="1.2"/>
    <n v="0.75"/>
    <n v="0.89999999999999991"/>
    <x v="20"/>
    <x v="7"/>
  </r>
  <r>
    <s v="461-alface mp"/>
    <x v="0"/>
    <n v="0.6"/>
    <n v="0.75"/>
    <n v="0.44999999999999996"/>
    <x v="20"/>
    <x v="7"/>
  </r>
  <r>
    <s v="461-alface mp"/>
    <x v="0"/>
    <n v="0.7"/>
    <n v="0.75"/>
    <n v="0.52499999999999991"/>
    <x v="20"/>
    <x v="7"/>
  </r>
  <r>
    <s v="461-alface mp"/>
    <x v="0"/>
    <n v="0.8"/>
    <n v="0.75"/>
    <n v="0.60000000000000009"/>
    <x v="20"/>
    <x v="7"/>
  </r>
  <r>
    <s v="462-alho mp"/>
    <x v="0"/>
    <n v="3.4"/>
    <n v="8"/>
    <n v="27.2"/>
    <x v="21"/>
    <x v="7"/>
  </r>
  <r>
    <s v="463-batata inglesa mp"/>
    <x v="0"/>
    <n v="20"/>
    <n v="2.7082999999999999"/>
    <n v="54.165999999999997"/>
    <x v="22"/>
    <x v="7"/>
  </r>
  <r>
    <s v="463-batata inglesa mp"/>
    <x v="0"/>
    <n v="3.35"/>
    <n v="2.7082999999999999"/>
    <n v="9.0728050000000007"/>
    <x v="22"/>
    <x v="7"/>
  </r>
  <r>
    <s v="464-brocolis mp"/>
    <x v="0"/>
    <n v="3.3"/>
    <n v="6.2868000000000004"/>
    <n v="20.74644"/>
    <x v="23"/>
    <x v="7"/>
  </r>
  <r>
    <s v="464-brocolis mp"/>
    <x v="0"/>
    <n v="2.1"/>
    <n v="6.2868000000000004"/>
    <n v="13.202280000000002"/>
    <x v="23"/>
    <x v="7"/>
  </r>
  <r>
    <s v="465-cebola branca mp"/>
    <x v="0"/>
    <n v="18"/>
    <n v="1.7"/>
    <n v="30.599999999999998"/>
    <x v="24"/>
    <x v="7"/>
  </r>
  <r>
    <s v="466-cenoura mp"/>
    <x v="0"/>
    <n v="6.9"/>
    <n v="2.5"/>
    <n v="17.25"/>
    <x v="25"/>
    <x v="7"/>
  </r>
  <r>
    <s v="466-cenoura mp"/>
    <x v="0"/>
    <n v="3"/>
    <n v="2.5"/>
    <n v="7.5"/>
    <x v="25"/>
    <x v="7"/>
  </r>
  <r>
    <s v="466-cenoura mp"/>
    <x v="0"/>
    <n v="4.5999999999999996"/>
    <n v="2.5"/>
    <n v="11.5"/>
    <x v="25"/>
    <x v="7"/>
  </r>
  <r>
    <s v="466-cenoura mp"/>
    <x v="0"/>
    <n v="4.25"/>
    <n v="2.5"/>
    <n v="10.625"/>
    <x v="25"/>
    <x v="7"/>
  </r>
  <r>
    <s v="466-cenoura mp"/>
    <x v="0"/>
    <n v="6.75"/>
    <n v="2.5"/>
    <n v="16.875"/>
    <x v="25"/>
    <x v="7"/>
  </r>
  <r>
    <s v="466-cenoura mp"/>
    <x v="0"/>
    <n v="3.9"/>
    <n v="2.5"/>
    <n v="9.75"/>
    <x v="25"/>
    <x v="7"/>
  </r>
  <r>
    <s v="467-leite mp"/>
    <x v="2"/>
    <n v="6.5"/>
    <n v="3.5"/>
    <n v="22.75"/>
    <x v="26"/>
    <x v="8"/>
  </r>
  <r>
    <s v="467-leite mp"/>
    <x v="2"/>
    <n v="6"/>
    <n v="3.5"/>
    <n v="21"/>
    <x v="26"/>
    <x v="8"/>
  </r>
  <r>
    <s v="467-leite mp"/>
    <x v="2"/>
    <n v="12"/>
    <n v="3.5"/>
    <n v="42"/>
    <x v="26"/>
    <x v="8"/>
  </r>
  <r>
    <s v="467-leite mp"/>
    <x v="2"/>
    <n v="9"/>
    <n v="3.5"/>
    <n v="31.5"/>
    <x v="26"/>
    <x v="8"/>
  </r>
  <r>
    <s v="467-leite mp"/>
    <x v="2"/>
    <n v="6"/>
    <n v="3.5"/>
    <n v="21"/>
    <x v="26"/>
    <x v="8"/>
  </r>
  <r>
    <s v="467-leite mp"/>
    <x v="2"/>
    <n v="6"/>
    <n v="3.5"/>
    <n v="21"/>
    <x v="26"/>
    <x v="8"/>
  </r>
  <r>
    <s v="467-leite mp"/>
    <x v="2"/>
    <n v="10"/>
    <n v="3.5"/>
    <n v="35"/>
    <x v="26"/>
    <x v="8"/>
  </r>
  <r>
    <s v="467-leite mp"/>
    <x v="2"/>
    <n v="12"/>
    <n v="3.5"/>
    <n v="42"/>
    <x v="26"/>
    <x v="8"/>
  </r>
  <r>
    <s v="467-leite mp"/>
    <x v="2"/>
    <n v="12"/>
    <n v="3.5"/>
    <n v="42"/>
    <x v="26"/>
    <x v="8"/>
  </r>
  <r>
    <s v="467-leite mp"/>
    <x v="2"/>
    <n v="6"/>
    <n v="3.5"/>
    <n v="21"/>
    <x v="26"/>
    <x v="8"/>
  </r>
  <r>
    <s v="467-leite mp"/>
    <x v="2"/>
    <n v="6"/>
    <n v="3.5"/>
    <n v="21"/>
    <x v="26"/>
    <x v="8"/>
  </r>
  <r>
    <s v="467-leite mp"/>
    <x v="2"/>
    <n v="6"/>
    <n v="3.5"/>
    <n v="21"/>
    <x v="26"/>
    <x v="8"/>
  </r>
  <r>
    <s v="467-leite mp"/>
    <x v="2"/>
    <n v="10.5"/>
    <n v="3.5"/>
    <n v="36.75"/>
    <x v="26"/>
    <x v="8"/>
  </r>
  <r>
    <s v="467-leite mp"/>
    <x v="2"/>
    <n v="12"/>
    <n v="3.5"/>
    <n v="42"/>
    <x v="26"/>
    <x v="8"/>
  </r>
  <r>
    <s v="467-leite mp"/>
    <x v="2"/>
    <n v="9.5"/>
    <n v="3.5"/>
    <n v="33.25"/>
    <x v="26"/>
    <x v="8"/>
  </r>
  <r>
    <s v="467-leite mp"/>
    <x v="2"/>
    <n v="9"/>
    <n v="3.5"/>
    <n v="31.5"/>
    <x v="26"/>
    <x v="8"/>
  </r>
  <r>
    <s v="467-leite mp"/>
    <x v="2"/>
    <n v="3"/>
    <n v="3.5"/>
    <n v="10.5"/>
    <x v="26"/>
    <x v="8"/>
  </r>
  <r>
    <s v="467-leite mp"/>
    <x v="2"/>
    <n v="6"/>
    <n v="3.5"/>
    <n v="21"/>
    <x v="26"/>
    <x v="8"/>
  </r>
  <r>
    <s v="467-leite mp"/>
    <x v="2"/>
    <n v="11.5"/>
    <n v="3.5"/>
    <n v="40.25"/>
    <x v="26"/>
    <x v="8"/>
  </r>
  <r>
    <s v="467-leite mp"/>
    <x v="2"/>
    <n v="12"/>
    <n v="3.5"/>
    <n v="42"/>
    <x v="26"/>
    <x v="8"/>
  </r>
  <r>
    <s v="467-leite mp"/>
    <x v="2"/>
    <n v="6"/>
    <n v="3.5"/>
    <n v="21"/>
    <x v="26"/>
    <x v="8"/>
  </r>
  <r>
    <s v="467-leite mp"/>
    <x v="2"/>
    <n v="12"/>
    <n v="3.5"/>
    <n v="42"/>
    <x v="26"/>
    <x v="8"/>
  </r>
  <r>
    <s v="467-leite mp"/>
    <x v="2"/>
    <n v="8"/>
    <n v="3.5"/>
    <n v="28"/>
    <x v="26"/>
    <x v="8"/>
  </r>
  <r>
    <s v="467-leite mp"/>
    <x v="2"/>
    <n v="12"/>
    <n v="3.5"/>
    <n v="42"/>
    <x v="26"/>
    <x v="8"/>
  </r>
  <r>
    <s v="469-margarina mp"/>
    <x v="0"/>
    <n v="14"/>
    <n v="8.31"/>
    <n v="116.34"/>
    <x v="27"/>
    <x v="8"/>
  </r>
  <r>
    <s v="470-queijo coalho mp"/>
    <x v="0"/>
    <n v="3.85"/>
    <n v="27.670200000000001"/>
    <n v="106.53027"/>
    <x v="28"/>
    <x v="8"/>
  </r>
  <r>
    <s v="470-queijo coalho mp"/>
    <x v="0"/>
    <n v="1.9"/>
    <n v="27.670200000000001"/>
    <n v="52.57338"/>
    <x v="28"/>
    <x v="8"/>
  </r>
  <r>
    <s v="470-queijo coalho mp"/>
    <x v="0"/>
    <n v="3.9"/>
    <n v="21.029199999999999"/>
    <n v="82.01388"/>
    <x v="28"/>
    <x v="8"/>
  </r>
  <r>
    <s v="470-queijo coalho mp"/>
    <x v="0"/>
    <n v="1.9"/>
    <n v="21.029199999999999"/>
    <n v="39.955479999999994"/>
    <x v="28"/>
    <x v="8"/>
  </r>
  <r>
    <s v="470-queijo coalho mp"/>
    <x v="0"/>
    <n v="2"/>
    <n v="21.029199999999999"/>
    <n v="42.058399999999999"/>
    <x v="28"/>
    <x v="8"/>
  </r>
  <r>
    <s v="470-queijo coalho mp"/>
    <x v="0"/>
    <n v="2.2999999999999998"/>
    <n v="21.029199999999999"/>
    <n v="48.367159999999998"/>
    <x v="28"/>
    <x v="8"/>
  </r>
  <r>
    <s v="470-queijo coalho mp"/>
    <x v="0"/>
    <n v="2.15"/>
    <n v="21.029199999999999"/>
    <n v="45.212779999999995"/>
    <x v="28"/>
    <x v="8"/>
  </r>
  <r>
    <s v="470-queijo coalho mp"/>
    <x v="0"/>
    <n v="2.4"/>
    <n v="21.029199999999999"/>
    <n v="50.470079999999996"/>
    <x v="28"/>
    <x v="8"/>
  </r>
  <r>
    <s v="471-queijo mussarela mp"/>
    <x v="0"/>
    <n v="1.95"/>
    <n v="31.5"/>
    <n v="61.424999999999997"/>
    <x v="29"/>
    <x v="8"/>
  </r>
  <r>
    <s v="471-queijo mussarela mp"/>
    <x v="0"/>
    <n v="1.18"/>
    <n v="31.5"/>
    <n v="37.169999999999995"/>
    <x v="29"/>
    <x v="8"/>
  </r>
  <r>
    <s v="471-queijo mussarela mp"/>
    <x v="0"/>
    <n v="4.5"/>
    <n v="31.5"/>
    <n v="141.75"/>
    <x v="29"/>
    <x v="8"/>
  </r>
  <r>
    <s v="471-queijo mussarela mp"/>
    <x v="0"/>
    <n v="4.32"/>
    <n v="31.5"/>
    <n v="136.08000000000001"/>
    <x v="29"/>
    <x v="8"/>
  </r>
  <r>
    <s v="471-queijo mussarela mp"/>
    <x v="0"/>
    <n v="4.0999999999999996"/>
    <n v="30.990100000000002"/>
    <n v="127.05941"/>
    <x v="29"/>
    <x v="8"/>
  </r>
  <r>
    <s v="471-queijo mussarela mp"/>
    <x v="0"/>
    <n v="2"/>
    <n v="30.990100000000002"/>
    <n v="61.980200000000004"/>
    <x v="29"/>
    <x v="8"/>
  </r>
  <r>
    <s v="471-queijo mussarela mp"/>
    <x v="0"/>
    <n v="2"/>
    <n v="30.990100000000002"/>
    <n v="61.980200000000004"/>
    <x v="29"/>
    <x v="8"/>
  </r>
  <r>
    <s v="471-queijo mussarela mp"/>
    <x v="0"/>
    <n v="4.0999999999999996"/>
    <n v="30.990100000000002"/>
    <n v="127.05941"/>
    <x v="29"/>
    <x v="8"/>
  </r>
  <r>
    <s v="471-queijo mussarela mp"/>
    <x v="0"/>
    <n v="2.85"/>
    <n v="30.990100000000002"/>
    <n v="88.321785000000006"/>
    <x v="29"/>
    <x v="8"/>
  </r>
  <r>
    <s v="471-queijo mussarela mp"/>
    <x v="0"/>
    <n v="2.2400000000000002"/>
    <n v="30.990100000000002"/>
    <n v="69.41782400000001"/>
    <x v="29"/>
    <x v="8"/>
  </r>
  <r>
    <s v="473-salmao mp"/>
    <x v="0"/>
    <n v="1.3"/>
    <n v="62.9"/>
    <n v="81.77"/>
    <x v="30"/>
    <x v="9"/>
  </r>
  <r>
    <s v="473-salmao mp"/>
    <x v="0"/>
    <n v="2.15"/>
    <n v="62.9"/>
    <n v="135.23499999999999"/>
    <x v="30"/>
    <x v="9"/>
  </r>
  <r>
    <s v="473-salmao mp"/>
    <x v="0"/>
    <n v="1.7"/>
    <n v="62.9"/>
    <n v="106.92999999999999"/>
    <x v="30"/>
    <x v="9"/>
  </r>
  <r>
    <s v="473-salmao mp"/>
    <x v="0"/>
    <n v="0.85"/>
    <n v="62.9"/>
    <n v="53.464999999999996"/>
    <x v="30"/>
    <x v="9"/>
  </r>
  <r>
    <s v="475-camarao mp"/>
    <x v="0"/>
    <n v="4.0999999999999996"/>
    <n v="31"/>
    <n v="127.1"/>
    <x v="31"/>
    <x v="9"/>
  </r>
  <r>
    <s v="475-camarao mp"/>
    <x v="0"/>
    <n v="3.75"/>
    <n v="33"/>
    <n v="123.75"/>
    <x v="31"/>
    <x v="9"/>
  </r>
  <r>
    <s v="475-camarao mp"/>
    <x v="0"/>
    <n v="4.2"/>
    <n v="33"/>
    <n v="138.6"/>
    <x v="31"/>
    <x v="9"/>
  </r>
  <r>
    <s v="475-camarao mp"/>
    <x v="0"/>
    <n v="4.2"/>
    <n v="33"/>
    <n v="138.6"/>
    <x v="31"/>
    <x v="9"/>
  </r>
  <r>
    <s v="475-camarao mp"/>
    <x v="0"/>
    <n v="3.55"/>
    <n v="33"/>
    <n v="117.14999999999999"/>
    <x v="31"/>
    <x v="9"/>
  </r>
  <r>
    <s v="475-camarao mp"/>
    <x v="0"/>
    <n v="3.6"/>
    <n v="33"/>
    <n v="118.8"/>
    <x v="31"/>
    <x v="9"/>
  </r>
  <r>
    <s v="475-camarao mp"/>
    <x v="0"/>
    <n v="4.6500000000000004"/>
    <n v="33"/>
    <n v="153.45000000000002"/>
    <x v="31"/>
    <x v="9"/>
  </r>
  <r>
    <s v="475-camarao mp"/>
    <x v="0"/>
    <n v="3"/>
    <n v="33"/>
    <n v="99"/>
    <x v="31"/>
    <x v="9"/>
  </r>
  <r>
    <s v="475-camarao mp"/>
    <x v="0"/>
    <n v="4.5"/>
    <n v="33"/>
    <n v="148.5"/>
    <x v="31"/>
    <x v="9"/>
  </r>
  <r>
    <s v="475-camarao mp"/>
    <x v="0"/>
    <n v="2.85"/>
    <n v="33"/>
    <n v="94.05"/>
    <x v="31"/>
    <x v="9"/>
  </r>
  <r>
    <s v="475-camarao mp"/>
    <x v="0"/>
    <n v="3.9"/>
    <n v="33"/>
    <n v="128.69999999999999"/>
    <x v="31"/>
    <x v="9"/>
  </r>
  <r>
    <s v="475-camarao mp"/>
    <x v="0"/>
    <n v="4.1500000000000004"/>
    <n v="33"/>
    <n v="136.95000000000002"/>
    <x v="31"/>
    <x v="9"/>
  </r>
  <r>
    <s v="476-acucar mp"/>
    <x v="0"/>
    <n v="5"/>
    <n v="3"/>
    <n v="15"/>
    <x v="32"/>
    <x v="10"/>
  </r>
  <r>
    <s v="477-arroz branco mp"/>
    <x v="0"/>
    <n v="9"/>
    <n v="4.57"/>
    <n v="41.13"/>
    <x v="33"/>
    <x v="10"/>
  </r>
  <r>
    <s v="478-arroz parboilizado mp"/>
    <x v="0"/>
    <n v="30"/>
    <n v="3.9"/>
    <n v="117"/>
    <x v="34"/>
    <x v="10"/>
  </r>
  <r>
    <s v="478-arroz parboilizado mp"/>
    <x v="0"/>
    <n v="30"/>
    <n v="3.75"/>
    <n v="112.5"/>
    <x v="34"/>
    <x v="10"/>
  </r>
  <r>
    <s v="478-arroz parboilizado mp"/>
    <x v="0"/>
    <n v="20"/>
    <n v="3.75"/>
    <n v="75"/>
    <x v="34"/>
    <x v="10"/>
  </r>
  <r>
    <s v="480-creme culinario mp"/>
    <x v="0"/>
    <n v="2"/>
    <n v="12.4071"/>
    <n v="24.8142"/>
    <x v="35"/>
    <x v="10"/>
  </r>
  <r>
    <s v="480-creme culinario mp"/>
    <x v="0"/>
    <n v="2"/>
    <n v="12.4071"/>
    <n v="24.8142"/>
    <x v="35"/>
    <x v="10"/>
  </r>
  <r>
    <s v="480-creme culinario mp"/>
    <x v="0"/>
    <n v="4"/>
    <n v="13.09"/>
    <n v="52.36"/>
    <x v="35"/>
    <x v="10"/>
  </r>
  <r>
    <s v="484-farinha de rosca mp"/>
    <x v="0"/>
    <n v="9.3000000000000007"/>
    <n v="7"/>
    <n v="65.100000000000009"/>
    <x v="36"/>
    <x v="10"/>
  </r>
  <r>
    <s v="484-farinha de rosca mp"/>
    <x v="0"/>
    <n v="4.8499999999999996"/>
    <n v="7"/>
    <n v="33.949999999999996"/>
    <x v="36"/>
    <x v="10"/>
  </r>
  <r>
    <s v="486-feijao branco mp"/>
    <x v="0"/>
    <n v="6.45"/>
    <n v="6.5"/>
    <n v="41.925000000000004"/>
    <x v="37"/>
    <x v="10"/>
  </r>
  <r>
    <s v="486-feijao branco mp"/>
    <x v="0"/>
    <n v="5.15"/>
    <n v="6.5"/>
    <n v="33.475000000000001"/>
    <x v="37"/>
    <x v="10"/>
  </r>
  <r>
    <s v="486-feijao branco mp"/>
    <x v="0"/>
    <n v="11.6"/>
    <n v="6.5"/>
    <n v="75.399999999999991"/>
    <x v="37"/>
    <x v="10"/>
  </r>
  <r>
    <s v="486-feijao branco mp"/>
    <x v="0"/>
    <n v="9.1"/>
    <n v="6.5"/>
    <n v="59.15"/>
    <x v="37"/>
    <x v="10"/>
  </r>
  <r>
    <s v="486-feijao branco mp"/>
    <x v="0"/>
    <n v="8"/>
    <n v="6.5"/>
    <n v="52"/>
    <x v="37"/>
    <x v="10"/>
  </r>
  <r>
    <s v="486-feijao branco mp"/>
    <x v="0"/>
    <n v="9.8000000000000007"/>
    <n v="6.5"/>
    <n v="63.7"/>
    <x v="37"/>
    <x v="10"/>
  </r>
  <r>
    <s v="490-ketchup mp"/>
    <x v="0"/>
    <n v="3.4"/>
    <n v="7.0591999999999997"/>
    <n v="24.001279999999998"/>
    <x v="38"/>
    <x v="10"/>
  </r>
  <r>
    <s v="490-ketchup mp"/>
    <x v="0"/>
    <n v="3.4"/>
    <n v="7.0591999999999997"/>
    <n v="24.001279999999998"/>
    <x v="38"/>
    <x v="10"/>
  </r>
  <r>
    <s v="492-macarrao espaguete mp"/>
    <x v="3"/>
    <n v="14"/>
    <n v="2.99"/>
    <n v="41.86"/>
    <x v="39"/>
    <x v="10"/>
  </r>
  <r>
    <s v="493-maionese mp"/>
    <x v="0"/>
    <n v="16.8"/>
    <n v="10.670999999999999"/>
    <n v="179.27279999999999"/>
    <x v="40"/>
    <x v="10"/>
  </r>
  <r>
    <s v="493-maionese mp"/>
    <x v="0"/>
    <n v="16.8"/>
    <n v="10.774699999999999"/>
    <n v="181.01496"/>
    <x v="40"/>
    <x v="10"/>
  </r>
  <r>
    <s v="493-maionese mp"/>
    <x v="0"/>
    <n v="16.8"/>
    <n v="10.719200000000001"/>
    <n v="180.08256000000003"/>
    <x v="40"/>
    <x v="10"/>
  </r>
  <r>
    <s v="494-molho de tomate mp"/>
    <x v="0"/>
    <n v="12.5"/>
    <n v="8"/>
    <n v="100"/>
    <x v="41"/>
    <x v="10"/>
  </r>
  <r>
    <s v="500-vinagre mp"/>
    <x v="4"/>
    <n v="12"/>
    <n v="1.46"/>
    <n v="17.52"/>
    <x v="42"/>
    <x v="10"/>
  </r>
  <r>
    <s v="501-bacon mp"/>
    <x v="0"/>
    <n v="5.75"/>
    <n v="23.151399999999999"/>
    <n v="133.12054999999998"/>
    <x v="43"/>
    <x v="11"/>
  </r>
  <r>
    <s v="501-bacon mp"/>
    <x v="0"/>
    <n v="5.65"/>
    <n v="23.151399999999999"/>
    <n v="130.80540999999999"/>
    <x v="43"/>
    <x v="11"/>
  </r>
  <r>
    <s v="501-bacon mp"/>
    <x v="0"/>
    <n v="11.18"/>
    <n v="24.191400000000002"/>
    <n v="270.45985200000001"/>
    <x v="43"/>
    <x v="11"/>
  </r>
  <r>
    <s v="501-bacon mp"/>
    <x v="0"/>
    <n v="5.6"/>
    <n v="24.191400000000002"/>
    <n v="135.47183999999999"/>
    <x v="43"/>
    <x v="11"/>
  </r>
  <r>
    <s v="501-bacon mp"/>
    <x v="0"/>
    <n v="11.3"/>
    <n v="24.0364"/>
    <n v="271.61132000000003"/>
    <x v="43"/>
    <x v="11"/>
  </r>
  <r>
    <s v="501-bacon mp"/>
    <x v="0"/>
    <n v="5.35"/>
    <n v="24.0364"/>
    <n v="128.59474"/>
    <x v="43"/>
    <x v="11"/>
  </r>
  <r>
    <s v="501-bacon mp"/>
    <x v="0"/>
    <n v="4.9000000000000004"/>
    <n v="22.97"/>
    <n v="112.553"/>
    <x v="43"/>
    <x v="11"/>
  </r>
  <r>
    <s v="502-carne suina mp"/>
    <x v="0"/>
    <n v="6.9"/>
    <n v="16.5701"/>
    <n v="114.33369"/>
    <x v="44"/>
    <x v="11"/>
  </r>
  <r>
    <s v="502-carne suina mp"/>
    <x v="0"/>
    <n v="7"/>
    <n v="16.5701"/>
    <n v="115.9907"/>
    <x v="44"/>
    <x v="11"/>
  </r>
  <r>
    <s v="502-carne suina mp"/>
    <x v="0"/>
    <n v="5.65"/>
    <n v="16.5701"/>
    <n v="93.621065000000002"/>
    <x v="44"/>
    <x v="11"/>
  </r>
  <r>
    <s v="502-carne suina mp"/>
    <x v="0"/>
    <n v="5.7"/>
    <n v="16.5701"/>
    <n v="94.449570000000008"/>
    <x v="44"/>
    <x v="11"/>
  </r>
  <r>
    <s v="502-carne suina mp"/>
    <x v="0"/>
    <n v="11.2"/>
    <n v="16.5701"/>
    <n v="185.58511999999999"/>
    <x v="44"/>
    <x v="11"/>
  </r>
  <r>
    <s v="502-carne suina mp"/>
    <x v="0"/>
    <n v="8.5500000000000007"/>
    <n v="16.5701"/>
    <n v="141.67435500000002"/>
    <x v="44"/>
    <x v="11"/>
  </r>
  <r>
    <s v="502-carne suina mp"/>
    <x v="0"/>
    <n v="9.3000000000000007"/>
    <n v="16.5701"/>
    <n v="154.10193000000001"/>
    <x v="44"/>
    <x v="11"/>
  </r>
  <r>
    <s v="502-carne suina mp"/>
    <x v="0"/>
    <n v="8.6"/>
    <n v="16.5701"/>
    <n v="142.50286"/>
    <x v="44"/>
    <x v="11"/>
  </r>
  <r>
    <s v="504-costela suina mp"/>
    <x v="0"/>
    <n v="5"/>
    <n v="19.510000000000002"/>
    <n v="97.550000000000011"/>
    <x v="45"/>
    <x v="11"/>
  </r>
  <r>
    <s v="504-costela suina mp"/>
    <x v="0"/>
    <n v="5"/>
    <n v="19.510000000000002"/>
    <n v="97.550000000000011"/>
    <x v="45"/>
    <x v="11"/>
  </r>
  <r>
    <s v="504-costela suina mp"/>
    <x v="0"/>
    <n v="2.7"/>
    <n v="19.510000000000002"/>
    <n v="52.677000000000007"/>
    <x v="45"/>
    <x v="11"/>
  </r>
  <r>
    <s v="515-azeite de oliva mp"/>
    <x v="5"/>
    <n v="2"/>
    <n v="17.25"/>
    <n v="34.5"/>
    <x v="46"/>
    <x v="12"/>
  </r>
  <r>
    <s v="516-cafe em po mp"/>
    <x v="6"/>
    <n v="4"/>
    <n v="11.163"/>
    <n v="44.652000000000001"/>
    <x v="47"/>
    <x v="13"/>
  </r>
  <r>
    <s v="518-molho de pimenta tabasco mp"/>
    <x v="7"/>
    <n v="2"/>
    <n v="22.656199999999998"/>
    <n v="45.312399999999997"/>
    <x v="48"/>
    <x v="14"/>
  </r>
  <r>
    <s v="519-oleo de soja"/>
    <x v="8"/>
    <n v="12"/>
    <n v="7.49"/>
    <n v="89.88"/>
    <x v="49"/>
    <x v="15"/>
  </r>
  <r>
    <s v="526-prep polpa maracuja com sement"/>
    <x v="0"/>
    <n v="2"/>
    <n v="25"/>
    <n v="50"/>
    <x v="50"/>
    <x v="16"/>
  </r>
  <r>
    <s v="526-prep polpa maracuja com sement"/>
    <x v="0"/>
    <n v="4"/>
    <n v="25"/>
    <n v="100"/>
    <x v="50"/>
    <x v="16"/>
  </r>
  <r>
    <s v="526-prep polpa maracuja com sement"/>
    <x v="0"/>
    <n v="4"/>
    <n v="25"/>
    <n v="100"/>
    <x v="50"/>
    <x v="16"/>
  </r>
  <r>
    <s v="526-prep polpa maracuja com sement"/>
    <x v="0"/>
    <n v="4"/>
    <n v="25"/>
    <n v="100"/>
    <x v="50"/>
    <x v="16"/>
  </r>
  <r>
    <s v="526-prep polpa maracuja com sement"/>
    <x v="0"/>
    <n v="4"/>
    <n v="25"/>
    <n v="100"/>
    <x v="50"/>
    <x v="16"/>
  </r>
  <r>
    <s v="526-prep polpa maracuja com sement"/>
    <x v="0"/>
    <n v="4"/>
    <n v="25"/>
    <n v="100"/>
    <x v="50"/>
    <x v="16"/>
  </r>
  <r>
    <s v="539-prep cordao file mignon moido"/>
    <x v="0"/>
    <n v="1.6"/>
    <n v="15"/>
    <n v="24"/>
    <x v="51"/>
    <x v="17"/>
  </r>
  <r>
    <s v="549-prep massa fettuccine"/>
    <x v="0"/>
    <n v="1.8"/>
    <n v="3.6606000000000001"/>
    <n v="6.58908"/>
    <x v="52"/>
    <x v="17"/>
  </r>
  <r>
    <s v="549-prep massa fettuccine"/>
    <x v="0"/>
    <n v="5.4"/>
    <n v="3.6265999999999998"/>
    <n v="19.583639999999999"/>
    <x v="52"/>
    <x v="17"/>
  </r>
  <r>
    <s v="550-prep massa rondelli"/>
    <x v="0"/>
    <n v="5"/>
    <n v="3.6265999999999998"/>
    <n v="18.132999999999999"/>
    <x v="53"/>
    <x v="17"/>
  </r>
  <r>
    <s v="552-prep molho madeira"/>
    <x v="2"/>
    <n v="4"/>
    <n v="6.4570999999999996"/>
    <n v="25.828399999999998"/>
    <x v="54"/>
    <x v="17"/>
  </r>
  <r>
    <s v="552-prep molho madeira"/>
    <x v="2"/>
    <n v="6"/>
    <n v="6.4602000000000004"/>
    <n v="38.761200000000002"/>
    <x v="54"/>
    <x v="17"/>
  </r>
  <r>
    <s v="552-prep molho madeira"/>
    <x v="2"/>
    <n v="7.5"/>
    <n v="6.4602000000000004"/>
    <n v="48.451500000000003"/>
    <x v="54"/>
    <x v="17"/>
  </r>
  <r>
    <s v="552-prep molho madeira"/>
    <x v="2"/>
    <n v="7"/>
    <n v="6.4602000000000004"/>
    <n v="45.221400000000003"/>
    <x v="54"/>
    <x v="17"/>
  </r>
  <r>
    <s v="552-prep molho madeira"/>
    <x v="2"/>
    <n v="4.5"/>
    <n v="6.4602000000000004"/>
    <n v="29.070900000000002"/>
    <x v="54"/>
    <x v="17"/>
  </r>
  <r>
    <s v="554-prep molho vermelho"/>
    <x v="2"/>
    <n v="6"/>
    <n v="6.7930000000000001"/>
    <n v="40.758000000000003"/>
    <x v="55"/>
    <x v="17"/>
  </r>
  <r>
    <s v="554-prep molho vermelho"/>
    <x v="2"/>
    <n v="6"/>
    <n v="6.7930000000000001"/>
    <n v="40.758000000000003"/>
    <x v="55"/>
    <x v="17"/>
  </r>
  <r>
    <s v="554-prep molho vermelho"/>
    <x v="2"/>
    <n v="9"/>
    <n v="6.7931999999999997"/>
    <n v="61.138799999999996"/>
    <x v="55"/>
    <x v="17"/>
  </r>
  <r>
    <s v="554-prep molho vermelho"/>
    <x v="2"/>
    <n v="2"/>
    <n v="6.7931999999999997"/>
    <n v="13.586399999999999"/>
    <x v="55"/>
    <x v="17"/>
  </r>
  <r>
    <s v="554-prep molho vermelho"/>
    <x v="2"/>
    <n v="12"/>
    <n v="6.7931999999999997"/>
    <n v="81.5184"/>
    <x v="55"/>
    <x v="17"/>
  </r>
  <r>
    <s v="554-prep molho vermelho"/>
    <x v="2"/>
    <n v="6"/>
    <n v="6.7931999999999997"/>
    <n v="40.7592"/>
    <x v="55"/>
    <x v="17"/>
  </r>
  <r>
    <s v="554-prep molho vermelho"/>
    <x v="2"/>
    <n v="4"/>
    <n v="6.7931999999999997"/>
    <n v="27.172799999999999"/>
    <x v="55"/>
    <x v="17"/>
  </r>
  <r>
    <s v="554-prep molho vermelho"/>
    <x v="2"/>
    <n v="6"/>
    <n v="6.7931999999999997"/>
    <n v="40.7592"/>
    <x v="55"/>
    <x v="17"/>
  </r>
  <r>
    <s v="554-prep molho vermelho"/>
    <x v="2"/>
    <n v="7.5"/>
    <n v="6.7931999999999997"/>
    <n v="50.948999999999998"/>
    <x v="55"/>
    <x v="17"/>
  </r>
  <r>
    <s v="554-prep molho vermelho"/>
    <x v="2"/>
    <n v="4.5"/>
    <n v="6.7931999999999997"/>
    <n v="30.569399999999998"/>
    <x v="55"/>
    <x v="17"/>
  </r>
  <r>
    <s v="554-prep molho vermelho"/>
    <x v="2"/>
    <n v="6"/>
    <n v="6.7931999999999997"/>
    <n v="40.7592"/>
    <x v="55"/>
    <x v="17"/>
  </r>
  <r>
    <s v="554-prep molho vermelho"/>
    <x v="2"/>
    <n v="6"/>
    <n v="3.5"/>
    <n v="21"/>
    <x v="55"/>
    <x v="17"/>
  </r>
  <r>
    <s v="554-prep molho vermelho"/>
    <x v="2"/>
    <n v="12"/>
    <n v="6.7931999999999997"/>
    <n v="81.5184"/>
    <x v="55"/>
    <x v="17"/>
  </r>
  <r>
    <s v="554-prep molho vermelho"/>
    <x v="2"/>
    <n v="10"/>
    <n v="6.7931999999999997"/>
    <n v="67.932000000000002"/>
    <x v="55"/>
    <x v="17"/>
  </r>
  <r>
    <s v="555-prep oleo de porco"/>
    <x v="2"/>
    <n v="2"/>
    <n v="5"/>
    <n v="10"/>
    <x v="56"/>
    <x v="17"/>
  </r>
  <r>
    <s v="555-prep oleo de porco"/>
    <x v="2"/>
    <n v="5.5"/>
    <n v="6"/>
    <n v="33"/>
    <x v="56"/>
    <x v="17"/>
  </r>
  <r>
    <s v="568-tilapia limpa mp"/>
    <x v="0"/>
    <n v="15"/>
    <n v="17"/>
    <n v="255"/>
    <x v="57"/>
    <x v="9"/>
  </r>
  <r>
    <s v="568-tilapia limpa mp"/>
    <x v="0"/>
    <n v="9.85"/>
    <n v="17"/>
    <n v="167.45"/>
    <x v="57"/>
    <x v="9"/>
  </r>
  <r>
    <s v="568-tilapia limpa mp"/>
    <x v="0"/>
    <n v="5.3"/>
    <n v="17"/>
    <n v="90.1"/>
    <x v="57"/>
    <x v="9"/>
  </r>
  <r>
    <s v="568-tilapia limpa mp"/>
    <x v="0"/>
    <n v="5"/>
    <n v="17"/>
    <n v="85"/>
    <x v="57"/>
    <x v="9"/>
  </r>
  <r>
    <s v="568-tilapia limpa mp"/>
    <x v="0"/>
    <n v="8"/>
    <n v="17"/>
    <n v="136"/>
    <x v="57"/>
    <x v="9"/>
  </r>
  <r>
    <s v="568-tilapia limpa mp"/>
    <x v="0"/>
    <n v="5.0999999999999996"/>
    <n v="17"/>
    <n v="86.699999999999989"/>
    <x v="57"/>
    <x v="9"/>
  </r>
  <r>
    <s v="568-tilapia limpa mp"/>
    <x v="0"/>
    <n v="6"/>
    <n v="17"/>
    <n v="102"/>
    <x v="57"/>
    <x v="9"/>
  </r>
  <r>
    <s v="568-tilapia limpa mp"/>
    <x v="0"/>
    <n v="16.3"/>
    <n v="17"/>
    <n v="277.10000000000002"/>
    <x v="57"/>
    <x v="9"/>
  </r>
  <r>
    <s v="568-tilapia limpa mp"/>
    <x v="0"/>
    <n v="8.1999999999999993"/>
    <n v="17"/>
    <n v="139.39999999999998"/>
    <x v="57"/>
    <x v="9"/>
  </r>
  <r>
    <s v="568-tilapia limpa mp"/>
    <x v="0"/>
    <n v="5.0999999999999996"/>
    <n v="17"/>
    <n v="86.699999999999989"/>
    <x v="57"/>
    <x v="9"/>
  </r>
  <r>
    <s v="568-tilapia limpa mp"/>
    <x v="0"/>
    <n v="6.67"/>
    <n v="17"/>
    <n v="113.39"/>
    <x v="57"/>
    <x v="9"/>
  </r>
  <r>
    <s v="568-tilapia limpa mp"/>
    <x v="0"/>
    <n v="6.25"/>
    <n v="17"/>
    <n v="106.25"/>
    <x v="57"/>
    <x v="9"/>
  </r>
  <r>
    <s v="568-tilapia limpa mp"/>
    <x v="0"/>
    <n v="11"/>
    <n v="17"/>
    <n v="187"/>
    <x v="57"/>
    <x v="9"/>
  </r>
  <r>
    <s v="588-agua sanitaria"/>
    <x v="2"/>
    <n v="12"/>
    <n v="1.54"/>
    <n v="18.48"/>
    <x v="58"/>
    <x v="18"/>
  </r>
  <r>
    <s v="593-detergente liquido"/>
    <x v="2"/>
    <n v="24"/>
    <n v="4.12"/>
    <n v="98.88"/>
    <x v="59"/>
    <x v="18"/>
  </r>
  <r>
    <s v="594-esponja de lavar louca"/>
    <x v="1"/>
    <n v="10"/>
    <n v="0.7"/>
    <n v="7"/>
    <x v="60"/>
    <x v="18"/>
  </r>
  <r>
    <s v="609-prep aipim limpo e cozido"/>
    <x v="0"/>
    <n v="3.25"/>
    <n v="4"/>
    <n v="13"/>
    <x v="61"/>
    <x v="17"/>
  </r>
  <r>
    <s v="609-prep aipim limpo e cozido"/>
    <x v="0"/>
    <n v="2.8"/>
    <n v="6"/>
    <n v="16.799999999999997"/>
    <x v="61"/>
    <x v="17"/>
  </r>
  <r>
    <s v="609-prep aipim limpo e cozido"/>
    <x v="0"/>
    <n v="5.35"/>
    <n v="6"/>
    <n v="32.099999999999994"/>
    <x v="61"/>
    <x v="17"/>
  </r>
  <r>
    <s v="610-prep brocolis limpo e cozido"/>
    <x v="0"/>
    <n v="3"/>
    <n v="9.2658000000000005"/>
    <n v="27.797400000000003"/>
    <x v="62"/>
    <x v="17"/>
  </r>
  <r>
    <s v="610-prep brocolis limpo e cozido"/>
    <x v="0"/>
    <n v="1.5"/>
    <n v="9.2658000000000005"/>
    <n v="13.898700000000002"/>
    <x v="62"/>
    <x v="17"/>
  </r>
  <r>
    <s v="631-cachaca 51 prata mp"/>
    <x v="2"/>
    <n v="1"/>
    <n v="13.0456"/>
    <n v="13.0456"/>
    <x v="63"/>
    <x v="19"/>
  </r>
  <r>
    <s v="631-cachaca 51 prata mp"/>
    <x v="2"/>
    <n v="1"/>
    <n v="13.0456"/>
    <n v="13.0456"/>
    <x v="63"/>
    <x v="19"/>
  </r>
  <r>
    <s v="635-cachaca ypioca ouro mp"/>
    <x v="2"/>
    <n v="2"/>
    <n v="17"/>
    <n v="34"/>
    <x v="64"/>
    <x v="19"/>
  </r>
  <r>
    <s v="657-vodka slova mp"/>
    <x v="9"/>
    <n v="2"/>
    <n v="11.3035"/>
    <n v="22.606999999999999"/>
    <x v="65"/>
    <x v="20"/>
  </r>
  <r>
    <s v="658-vodka smirnoff mp"/>
    <x v="2"/>
    <n v="2"/>
    <n v="35.5"/>
    <n v="71"/>
    <x v="66"/>
    <x v="20"/>
  </r>
  <r>
    <s v="661-whisky black white mp"/>
    <x v="2"/>
    <n v="1"/>
    <n v="64.67"/>
    <n v="64.67"/>
    <x v="67"/>
    <x v="21"/>
  </r>
  <r>
    <s v="667-whisky red label mp"/>
    <x v="2"/>
    <n v="1"/>
    <n v="87.5"/>
    <n v="87.5"/>
    <x v="68"/>
    <x v="21"/>
  </r>
  <r>
    <s v="669-whisky white horse mp"/>
    <x v="2"/>
    <n v="1"/>
    <n v="73.75"/>
    <n v="73.75"/>
    <x v="69"/>
    <x v="21"/>
  </r>
  <r>
    <s v="688-prep farofa"/>
    <x v="0"/>
    <n v="6.2"/>
    <n v="4.9016000000000002"/>
    <n v="30.389920000000004"/>
    <x v="70"/>
    <x v="17"/>
  </r>
  <r>
    <s v="688-prep farofa"/>
    <x v="0"/>
    <n v="4.25"/>
    <n v="4.9016000000000002"/>
    <n v="20.831800000000001"/>
    <x v="70"/>
    <x v="17"/>
  </r>
  <r>
    <s v="688-prep farofa"/>
    <x v="0"/>
    <n v="7"/>
    <n v="4.9016000000000002"/>
    <n v="34.311199999999999"/>
    <x v="70"/>
    <x v="17"/>
  </r>
  <r>
    <s v="688-prep farofa"/>
    <x v="0"/>
    <n v="6.65"/>
    <n v="4.9016000000000002"/>
    <n v="32.595640000000003"/>
    <x v="70"/>
    <x v="17"/>
  </r>
  <r>
    <s v="688-prep farofa"/>
    <x v="0"/>
    <n v="6.7"/>
    <n v="4.9016000000000002"/>
    <n v="32.840720000000005"/>
    <x v="70"/>
    <x v="17"/>
  </r>
  <r>
    <s v="688-prep farofa"/>
    <x v="0"/>
    <n v="5.15"/>
    <n v="4.9016000000000002"/>
    <n v="25.243240000000004"/>
    <x v="70"/>
    <x v="17"/>
  </r>
  <r>
    <s v="688-prep farofa"/>
    <x v="0"/>
    <n v="4.9000000000000004"/>
    <n v="4.9016000000000002"/>
    <n v="24.017840000000003"/>
    <x v="70"/>
    <x v="17"/>
  </r>
  <r>
    <s v="688-prep farofa"/>
    <x v="0"/>
    <n v="2.65"/>
    <n v="4.9016000000000002"/>
    <n v="12.989240000000001"/>
    <x v="70"/>
    <x v="17"/>
  </r>
  <r>
    <s v="688-prep farofa"/>
    <x v="0"/>
    <n v="4.5"/>
    <n v="4.9016000000000002"/>
    <n v="22.057200000000002"/>
    <x v="70"/>
    <x v="17"/>
  </r>
  <r>
    <s v="688-prep farofa"/>
    <x v="0"/>
    <n v="6.6"/>
    <n v="4.9016000000000002"/>
    <n v="32.350560000000002"/>
    <x v="70"/>
    <x v="17"/>
  </r>
  <r>
    <s v="733-vinho o gaucho suave mp"/>
    <x v="2"/>
    <n v="4"/>
    <n v="16"/>
    <n v="64"/>
    <x v="71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301FE-3A87-4E4D-8FBB-2B7533193C33}" name="Tabela dinâmica1" cacheId="104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mergeItem="1" createdVersion="8" indent="0" outline="1" outlineData="1" multipleFieldFilters="0" rowHeaderCaption=" Grupo ">
  <location ref="I5:N112" firstHeaderRow="0" firstDataRow="1" firstDataCol="3"/>
  <pivotFields count="7">
    <pivotField showAll="0"/>
    <pivotField axis="axisRow" outline="0" showAll="0" sortType="descending" defaultSubtotal="0">
      <items count="35">
        <item x="9"/>
        <item x="5"/>
        <item x="7"/>
        <item x="8"/>
        <item x="10"/>
        <item m="1" x="28"/>
        <item x="2"/>
        <item x="4"/>
        <item x="0"/>
        <item m="1" x="23"/>
        <item m="1" x="18"/>
        <item x="12"/>
        <item x="11"/>
        <item m="1" x="33"/>
        <item m="1" x="29"/>
        <item m="1" x="32"/>
        <item x="3"/>
        <item m="1" x="31"/>
        <item m="1" x="34"/>
        <item m="1" x="24"/>
        <item m="1" x="30"/>
        <item m="1" x="26"/>
        <item m="1" x="27"/>
        <item m="1" x="14"/>
        <item x="13"/>
        <item m="1" x="15"/>
        <item m="1" x="21"/>
        <item m="1" x="20"/>
        <item m="1" x="25"/>
        <item m="1" x="22"/>
        <item x="1"/>
        <item x="6"/>
        <item m="1" x="19"/>
        <item m="1" x="16"/>
        <item m="1" x="17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2" showAll="0"/>
    <pivotField dataField="1" numFmtId="44" showAll="0"/>
    <pivotField dataField="1" numFmtId="44" showAll="0"/>
    <pivotField axis="axisRow" outline="0" showAll="0" sortType="descending" defaultSubtotal="0">
      <items count="147">
        <item x="21"/>
        <item x="22"/>
        <item x="23"/>
        <item x="24"/>
        <item x="50"/>
        <item m="1" x="125"/>
        <item x="37"/>
        <item x="47"/>
        <item x="9"/>
        <item x="26"/>
        <item x="51"/>
        <item x="34"/>
        <item x="48"/>
        <item x="27"/>
        <item x="28"/>
        <item x="15"/>
        <item x="6"/>
        <item x="38"/>
        <item x="66"/>
        <item x="40"/>
        <item x="41"/>
        <item x="12"/>
        <item x="7"/>
        <item x="13"/>
        <item x="53"/>
        <item x="42"/>
        <item x="10"/>
        <item x="18"/>
        <item x="30"/>
        <item x="29"/>
        <item x="19"/>
        <item m="1" x="81"/>
        <item x="44"/>
        <item x="45"/>
        <item m="1" x="82"/>
        <item x="20"/>
        <item x="52"/>
        <item x="16"/>
        <item x="70"/>
        <item m="1" x="91"/>
        <item x="76"/>
        <item x="57"/>
        <item x="58"/>
        <item x="60"/>
        <item x="61"/>
        <item x="54"/>
        <item x="32"/>
        <item x="33"/>
        <item x="64"/>
        <item x="17"/>
        <item x="46"/>
        <item m="1" x="93"/>
        <item x="8"/>
        <item x="11"/>
        <item x="25"/>
        <item x="35"/>
        <item x="62"/>
        <item m="1" x="104"/>
        <item x="0"/>
        <item m="1" x="101"/>
        <item x="56"/>
        <item m="1" x="114"/>
        <item m="1" x="85"/>
        <item m="1" x="107"/>
        <item m="1" x="99"/>
        <item m="1" x="128"/>
        <item x="69"/>
        <item x="75"/>
        <item m="1" x="120"/>
        <item m="1" x="124"/>
        <item x="68"/>
        <item x="31"/>
        <item x="63"/>
        <item m="1" x="116"/>
        <item x="65"/>
        <item x="73"/>
        <item m="1" x="141"/>
        <item x="14"/>
        <item m="1" x="134"/>
        <item m="1" x="136"/>
        <item m="1" x="113"/>
        <item m="1" x="110"/>
        <item m="1" x="100"/>
        <item x="71"/>
        <item m="1" x="145"/>
        <item m="1" x="146"/>
        <item m="1" x="118"/>
        <item m="1" x="142"/>
        <item x="77"/>
        <item m="1" x="129"/>
        <item m="1" x="130"/>
        <item x="36"/>
        <item m="1" x="143"/>
        <item m="1" x="139"/>
        <item x="67"/>
        <item m="1" x="90"/>
        <item m="1" x="137"/>
        <item m="1" x="140"/>
        <item x="59"/>
        <item m="1" x="144"/>
        <item m="1" x="126"/>
        <item m="1" x="119"/>
        <item m="1" x="111"/>
        <item m="1" x="127"/>
        <item m="1" x="138"/>
        <item m="1" x="98"/>
        <item m="1" x="131"/>
        <item m="1" x="84"/>
        <item m="1" x="108"/>
        <item x="55"/>
        <item m="1" x="135"/>
        <item m="1" x="106"/>
        <item x="72"/>
        <item m="1" x="115"/>
        <item x="39"/>
        <item m="1" x="133"/>
        <item m="1" x="94"/>
        <item m="1" x="132"/>
        <item x="2"/>
        <item m="1" x="86"/>
        <item m="1" x="122"/>
        <item m="1" x="123"/>
        <item x="74"/>
        <item x="49"/>
        <item m="1" x="121"/>
        <item x="3"/>
        <item x="4"/>
        <item m="1" x="102"/>
        <item m="1" x="103"/>
        <item x="5"/>
        <item m="1" x="105"/>
        <item m="1" x="80"/>
        <item m="1" x="83"/>
        <item x="43"/>
        <item m="1" x="109"/>
        <item m="1" x="112"/>
        <item m="1" x="117"/>
        <item m="1" x="79"/>
        <item m="1" x="87"/>
        <item m="1" x="88"/>
        <item m="1" x="89"/>
        <item m="1" x="92"/>
        <item m="1" x="95"/>
        <item x="78"/>
        <item m="1" x="96"/>
        <item m="1" x="97"/>
        <item x="1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insertBlankRow="1" sortType="descending" defaultSubtotal="0">
      <items count="35">
        <item m="1" x="32"/>
        <item x="14"/>
        <item x="4"/>
        <item x="5"/>
        <item x="6"/>
        <item x="7"/>
        <item x="16"/>
        <item x="8"/>
        <item x="9"/>
        <item x="20"/>
        <item x="15"/>
        <item x="10"/>
        <item x="17"/>
        <item x="18"/>
        <item x="11"/>
        <item x="12"/>
        <item x="13"/>
        <item m="1" x="28"/>
        <item m="1" x="30"/>
        <item x="0"/>
        <item x="19"/>
        <item x="22"/>
        <item x="21"/>
        <item m="1" x="34"/>
        <item m="1" x="33"/>
        <item x="1"/>
        <item m="1" x="25"/>
        <item m="1" x="27"/>
        <item x="3"/>
        <item x="2"/>
        <item m="1" x="24"/>
        <item m="1" x="31"/>
        <item m="1" x="26"/>
        <item x="23"/>
        <item m="1" x="29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"/>
    <field x="5"/>
    <field x="1"/>
  </rowFields>
  <rowItems count="107">
    <i>
      <x v="2"/>
      <x v="16"/>
      <x v="6"/>
    </i>
    <i r="1">
      <x v="52"/>
      <x v="6"/>
    </i>
    <i r="1">
      <x v="22"/>
      <x v="6"/>
    </i>
    <i r="1">
      <x v="129"/>
      <x v="6"/>
    </i>
    <i t="blank">
      <x v="2"/>
    </i>
    <i>
      <x v="5"/>
      <x v="21"/>
      <x v="6"/>
    </i>
    <i r="1">
      <x v="77"/>
      <x v="8"/>
    </i>
    <i r="2">
      <x v="16"/>
    </i>
    <i r="1">
      <x v="23"/>
      <x v="6"/>
    </i>
    <i t="blank">
      <x v="5"/>
    </i>
    <i>
      <x v="15"/>
      <x v="12"/>
      <x v="6"/>
    </i>
    <i r="1">
      <x v="7"/>
      <x v="6"/>
    </i>
    <i r="1">
      <x v="123"/>
      <x v="6"/>
    </i>
    <i t="blank">
      <x v="15"/>
    </i>
    <i>
      <x v="7"/>
      <x v="49"/>
      <x v="6"/>
    </i>
    <i r="1">
      <x v="27"/>
      <x v="6"/>
    </i>
    <i r="1">
      <x v="54"/>
      <x v="6"/>
    </i>
    <i r="1">
      <x v="14"/>
      <x v="6"/>
    </i>
    <i r="1">
      <x v="13"/>
      <x v="6"/>
    </i>
    <i r="1">
      <x v="37"/>
      <x v="6"/>
    </i>
    <i r="1">
      <x/>
      <x v="8"/>
    </i>
    <i r="1">
      <x v="3"/>
      <x v="6"/>
    </i>
    <i r="1">
      <x v="9"/>
      <x v="6"/>
    </i>
    <i r="1">
      <x v="35"/>
      <x v="6"/>
    </i>
    <i r="1">
      <x v="30"/>
      <x v="6"/>
    </i>
    <i r="1">
      <x v="15"/>
      <x v="6"/>
    </i>
    <i r="1">
      <x v="88"/>
      <x v="8"/>
    </i>
    <i r="1">
      <x v="1"/>
      <x v="6"/>
    </i>
    <i r="1">
      <x v="2"/>
      <x v="6"/>
    </i>
    <i t="blank">
      <x v="7"/>
    </i>
    <i>
      <x v="14"/>
      <x v="33"/>
      <x v="6"/>
    </i>
    <i r="1">
      <x v="6"/>
      <x v="6"/>
    </i>
    <i r="1">
      <x v="91"/>
      <x v="6"/>
    </i>
    <i r="1">
      <x v="17"/>
      <x v="6"/>
    </i>
    <i r="1">
      <x v="114"/>
      <x v="6"/>
    </i>
    <i r="1">
      <x v="32"/>
      <x v="2"/>
    </i>
    <i r="2">
      <x v="6"/>
    </i>
    <i r="1">
      <x v="19"/>
      <x v="6"/>
    </i>
    <i r="1">
      <x v="20"/>
      <x v="6"/>
    </i>
    <i r="1">
      <x v="25"/>
      <x v="6"/>
    </i>
    <i r="1">
      <x v="55"/>
      <x v="6"/>
    </i>
    <i r="1">
      <x v="50"/>
      <x v="3"/>
    </i>
    <i r="1">
      <x v="133"/>
      <x v="31"/>
    </i>
    <i t="blank">
      <x v="14"/>
    </i>
    <i>
      <x v="3"/>
      <x v="8"/>
      <x v="6"/>
    </i>
    <i t="blank">
      <x v="3"/>
    </i>
    <i>
      <x v="11"/>
      <x v="48"/>
      <x v="6"/>
    </i>
    <i r="1">
      <x v="11"/>
      <x v="6"/>
    </i>
    <i t="blank">
      <x v="11"/>
    </i>
    <i>
      <x v="8"/>
      <x v="29"/>
      <x v="7"/>
    </i>
    <i r="1">
      <x v="47"/>
      <x v="6"/>
    </i>
    <i r="1">
      <x v="71"/>
      <x v="6"/>
    </i>
    <i r="1">
      <x v="46"/>
      <x v="6"/>
    </i>
    <i r="1">
      <x v="67"/>
      <x v="6"/>
    </i>
    <i r="1">
      <x v="28"/>
      <x v="1"/>
    </i>
    <i t="blank">
      <x v="8"/>
    </i>
    <i>
      <x v="13"/>
      <x v="56"/>
      <x v="7"/>
    </i>
    <i r="1">
      <x v="44"/>
      <x v="7"/>
    </i>
    <i r="1">
      <x v="40"/>
      <x v="6"/>
    </i>
    <i r="1">
      <x v="41"/>
      <x v="6"/>
    </i>
    <i r="1">
      <x v="43"/>
      <x v="6"/>
    </i>
    <i r="1">
      <x v="109"/>
      <x v="6"/>
    </i>
    <i r="1">
      <x v="42"/>
      <x v="6"/>
    </i>
    <i r="1">
      <x v="72"/>
      <x v="7"/>
    </i>
    <i r="1">
      <x v="38"/>
      <x v="6"/>
    </i>
    <i t="blank">
      <x v="13"/>
    </i>
    <i>
      <x v="4"/>
      <x v="53"/>
      <x v="6"/>
    </i>
    <i r="1">
      <x v="26"/>
      <x v="6"/>
    </i>
    <i t="blank">
      <x v="4"/>
    </i>
    <i>
      <x v="10"/>
      <x v="36"/>
      <x v="4"/>
    </i>
    <i r="2">
      <x v="7"/>
    </i>
    <i t="blank">
      <x v="10"/>
    </i>
    <i>
      <x v="20"/>
      <x v="60"/>
      <x v="8"/>
    </i>
    <i r="1">
      <x v="98"/>
      <x v="8"/>
    </i>
    <i t="blank">
      <x v="20"/>
    </i>
    <i>
      <x v="12"/>
      <x v="45"/>
      <x v="6"/>
    </i>
    <i t="blank">
      <x v="12"/>
    </i>
    <i>
      <x v="9"/>
      <x v="18"/>
      <x v="3"/>
    </i>
    <i r="1">
      <x v="74"/>
      <x v="7"/>
    </i>
    <i r="1">
      <x v="70"/>
      <x v="12"/>
    </i>
    <i r="1">
      <x v="94"/>
      <x v="8"/>
    </i>
    <i t="blank">
      <x v="9"/>
    </i>
    <i>
      <x v="19"/>
      <x v="58"/>
      <x v="8"/>
    </i>
    <i r="1">
      <x v="146"/>
      <x v="8"/>
    </i>
    <i t="blank">
      <x v="19"/>
    </i>
    <i>
      <x v="21"/>
      <x v="122"/>
      <x v="7"/>
    </i>
    <i r="1">
      <x v="75"/>
      <x v="7"/>
    </i>
    <i t="blank">
      <x v="21"/>
    </i>
    <i>
      <x v="1"/>
      <x v="10"/>
      <x v="6"/>
    </i>
    <i r="2">
      <x/>
    </i>
    <i t="blank">
      <x v="1"/>
    </i>
    <i>
      <x v="22"/>
      <x v="83"/>
      <x v="7"/>
    </i>
    <i r="1">
      <x v="112"/>
      <x v="24"/>
    </i>
    <i t="blank">
      <x v="22"/>
    </i>
    <i>
      <x v="33"/>
      <x v="143"/>
      <x v="8"/>
    </i>
    <i t="blank">
      <x v="33"/>
    </i>
    <i>
      <x v="16"/>
      <x v="4"/>
      <x v="6"/>
    </i>
    <i t="blank">
      <x v="16"/>
    </i>
    <i>
      <x v="25"/>
      <x v="118"/>
      <x v="8"/>
    </i>
    <i t="blank">
      <x v="25"/>
    </i>
    <i>
      <x v="29"/>
      <x v="125"/>
      <x v="8"/>
    </i>
    <i t="blank">
      <x v="29"/>
    </i>
    <i>
      <x v="6"/>
      <x v="66"/>
      <x v="11"/>
    </i>
    <i r="1">
      <x v="24"/>
      <x v="12"/>
    </i>
    <i t="blank">
      <x v="6"/>
    </i>
    <i>
      <x v="28"/>
      <x v="126"/>
      <x v="30"/>
    </i>
    <i t="blank">
      <x v="28"/>
    </i>
  </rowItems>
  <colFields count="1">
    <field x="-2"/>
  </colFields>
  <colItems count="3">
    <i>
      <x/>
    </i>
    <i i="1">
      <x v="1"/>
    </i>
    <i i="2">
      <x v="2"/>
    </i>
  </colItems>
  <dataFields count="3">
    <dataField name="Quantidade" fld="2" baseField="0" baseItem="0" numFmtId="2"/>
    <dataField name="Valor Unitário" fld="3" subtotal="average" baseField="1" baseItem="10" numFmtId="44"/>
    <dataField name="Valor Total" fld="4" baseField="0" baseItem="0" numFmtId="44"/>
  </dataFields>
  <formats count="156">
    <format dxfId="594">
      <pivotArea type="all" dataOnly="0" outline="0" fieldPosition="0"/>
    </format>
    <format dxfId="595">
      <pivotArea outline="0" collapsedLevelsAreSubtotals="1" fieldPosition="0"/>
    </format>
    <format dxfId="596">
      <pivotArea field="6" type="button" dataOnly="0" labelOnly="1" outline="0" axis="axisRow" fieldPosition="0"/>
    </format>
    <format dxfId="597">
      <pivotArea field="5" type="button" dataOnly="0" labelOnly="1" outline="0" axis="axisRow" fieldPosition="1"/>
    </format>
    <format dxfId="598">
      <pivotArea field="1" type="button" dataOnly="0" labelOnly="1" outline="0" axis="axisRow" fieldPosition="2"/>
    </format>
    <format dxfId="599">
      <pivotArea dataOnly="0" labelOnly="1" fieldPosition="0">
        <references count="1">
          <reference field="6" count="0"/>
        </references>
      </pivotArea>
    </format>
    <format dxfId="600">
      <pivotArea dataOnly="0" labelOnly="1" grandRow="1" outline="0" fieldPosition="0"/>
    </format>
    <format dxfId="601">
      <pivotArea dataOnly="0" labelOnly="1" fieldPosition="0">
        <references count="2">
          <reference field="5" count="1">
            <x v="5"/>
          </reference>
          <reference field="6" count="1" selected="0">
            <x v="0"/>
          </reference>
        </references>
      </pivotArea>
    </format>
    <format dxfId="602">
      <pivotArea dataOnly="0" labelOnly="1" fieldPosition="0">
        <references count="2">
          <reference field="5" count="1">
            <x v="10"/>
          </reference>
          <reference field="6" count="1" selected="0">
            <x v="1"/>
          </reference>
        </references>
      </pivotArea>
    </format>
    <format dxfId="603">
      <pivotArea dataOnly="0" labelOnly="1" fieldPosition="0">
        <references count="2">
          <reference field="5" count="2">
            <x v="16"/>
            <x v="22"/>
          </reference>
          <reference field="6" count="1" selected="0">
            <x v="2"/>
          </reference>
        </references>
      </pivotArea>
    </format>
    <format dxfId="604">
      <pivotArea dataOnly="0" labelOnly="1" fieldPosition="0">
        <references count="2">
          <reference field="5" count="1">
            <x v="8"/>
          </reference>
          <reference field="6" count="1" selected="0">
            <x v="3"/>
          </reference>
        </references>
      </pivotArea>
    </format>
    <format dxfId="605">
      <pivotArea dataOnly="0" labelOnly="1" fieldPosition="0">
        <references count="2">
          <reference field="5" count="2">
            <x v="26"/>
            <x v="31"/>
          </reference>
          <reference field="6" count="1" selected="0">
            <x v="4"/>
          </reference>
        </references>
      </pivotArea>
    </format>
    <format dxfId="606">
      <pivotArea dataOnly="0" labelOnly="1" fieldPosition="0">
        <references count="2">
          <reference field="5" count="2">
            <x v="21"/>
            <x v="23"/>
          </reference>
          <reference field="6" count="1" selected="0">
            <x v="5"/>
          </reference>
        </references>
      </pivotArea>
    </format>
    <format dxfId="607">
      <pivotArea dataOnly="0" labelOnly="1" fieldPosition="0">
        <references count="2">
          <reference field="5" count="1">
            <x v="24"/>
          </reference>
          <reference field="6" count="1" selected="0">
            <x v="6"/>
          </reference>
        </references>
      </pivotArea>
    </format>
    <format dxfId="608">
      <pivotArea dataOnly="0" labelOnly="1" fieldPosition="0">
        <references count="2">
          <reference field="5" count="14">
            <x v="0"/>
            <x v="1"/>
            <x v="2"/>
            <x v="3"/>
            <x v="9"/>
            <x v="13"/>
            <x v="14"/>
            <x v="15"/>
            <x v="27"/>
            <x v="30"/>
            <x v="34"/>
            <x v="35"/>
            <x v="37"/>
            <x v="49"/>
          </reference>
          <reference field="6" count="1" selected="0">
            <x v="7"/>
          </reference>
        </references>
      </pivotArea>
    </format>
    <format dxfId="609">
      <pivotArea dataOnly="0" labelOnly="1" fieldPosition="0">
        <references count="2">
          <reference field="5" count="4">
            <x v="28"/>
            <x v="29"/>
            <x v="46"/>
            <x v="47"/>
          </reference>
          <reference field="6" count="1" selected="0">
            <x v="8"/>
          </reference>
        </references>
      </pivotArea>
    </format>
    <format dxfId="610">
      <pivotArea dataOnly="0" labelOnly="1" fieldPosition="0">
        <references count="2">
          <reference field="5" count="1">
            <x v="18"/>
          </reference>
          <reference field="6" count="1" selected="0">
            <x v="9"/>
          </reference>
        </references>
      </pivotArea>
    </format>
    <format dxfId="611">
      <pivotArea dataOnly="0" labelOnly="1" fieldPosition="0">
        <references count="2">
          <reference field="5" count="1">
            <x v="36"/>
          </reference>
          <reference field="6" count="1" selected="0">
            <x v="10"/>
          </reference>
        </references>
      </pivotArea>
    </format>
    <format dxfId="612">
      <pivotArea dataOnly="0" labelOnly="1" fieldPosition="0">
        <references count="2">
          <reference field="5" count="2">
            <x v="11"/>
            <x v="48"/>
          </reference>
          <reference field="6" count="1" selected="0">
            <x v="11"/>
          </reference>
        </references>
      </pivotArea>
    </format>
    <format dxfId="613">
      <pivotArea dataOnly="0" labelOnly="1" fieldPosition="0">
        <references count="2">
          <reference field="5" count="1">
            <x v="45"/>
          </reference>
          <reference field="6" count="1" selected="0">
            <x v="12"/>
          </reference>
        </references>
      </pivotArea>
    </format>
    <format dxfId="614">
      <pivotArea dataOnly="0" labelOnly="1" fieldPosition="0">
        <references count="2">
          <reference field="5" count="7">
            <x v="38"/>
            <x v="39"/>
            <x v="40"/>
            <x v="41"/>
            <x v="42"/>
            <x v="43"/>
            <x v="44"/>
          </reference>
          <reference field="6" count="1" selected="0">
            <x v="13"/>
          </reference>
        </references>
      </pivotArea>
    </format>
    <format dxfId="615">
      <pivotArea dataOnly="0" labelOnly="1" fieldPosition="0">
        <references count="2">
          <reference field="5" count="8">
            <x v="6"/>
            <x v="17"/>
            <x v="19"/>
            <x v="20"/>
            <x v="25"/>
            <x v="32"/>
            <x v="33"/>
            <x v="50"/>
          </reference>
          <reference field="6" count="1" selected="0">
            <x v="14"/>
          </reference>
        </references>
      </pivotArea>
    </format>
    <format dxfId="616">
      <pivotArea dataOnly="0" labelOnly="1" fieldPosition="0">
        <references count="2">
          <reference field="5" count="2">
            <x v="7"/>
            <x v="12"/>
          </reference>
          <reference field="6" count="1" selected="0">
            <x v="15"/>
          </reference>
        </references>
      </pivotArea>
    </format>
    <format dxfId="617">
      <pivotArea dataOnly="0" labelOnly="1" fieldPosition="0">
        <references count="2">
          <reference field="5" count="1">
            <x v="4"/>
          </reference>
          <reference field="6" count="1" selected="0">
            <x v="16"/>
          </reference>
        </references>
      </pivotArea>
    </format>
    <format dxfId="618">
      <pivotArea dataOnly="0" labelOnly="1" fieldPosition="0">
        <references count="2">
          <reference field="5" count="1">
            <x v="51"/>
          </reference>
          <reference field="6" count="1" selected="0">
            <x v="17"/>
          </reference>
        </references>
      </pivotArea>
    </format>
    <format dxfId="619">
      <pivotArea dataOnly="0" labelOnly="1" fieldPosition="0">
        <references count="3">
          <reference field="1" count="1">
            <x v="7"/>
          </reference>
          <reference field="5" count="1" selected="0">
            <x v="5"/>
          </reference>
          <reference field="6" count="1" selected="0">
            <x v="0"/>
          </reference>
        </references>
      </pivotArea>
    </format>
    <format dxfId="620">
      <pivotArea dataOnly="0" labelOnly="1" fieldPosition="0">
        <references count="3">
          <reference field="1" count="1">
            <x v="0"/>
          </reference>
          <reference field="5" count="1" selected="0">
            <x v="10"/>
          </reference>
          <reference field="6" count="1" selected="0">
            <x v="1"/>
          </reference>
        </references>
      </pivotArea>
    </format>
    <format dxfId="621">
      <pivotArea dataOnly="0" labelOnly="1" fieldPosition="0">
        <references count="3">
          <reference field="1" count="1">
            <x v="6"/>
          </reference>
          <reference field="5" count="1" selected="0">
            <x v="16"/>
          </reference>
          <reference field="6" count="1" selected="0">
            <x v="2"/>
          </reference>
        </references>
      </pivotArea>
    </format>
    <format dxfId="622">
      <pivotArea dataOnly="0" labelOnly="1" fieldPosition="0">
        <references count="3">
          <reference field="1" count="1">
            <x v="6"/>
          </reference>
          <reference field="5" count="1" selected="0">
            <x v="22"/>
          </reference>
          <reference field="6" count="1" selected="0">
            <x v="2"/>
          </reference>
        </references>
      </pivotArea>
    </format>
    <format dxfId="623">
      <pivotArea dataOnly="0" labelOnly="1" fieldPosition="0">
        <references count="3">
          <reference field="1" count="1">
            <x v="6"/>
          </reference>
          <reference field="5" count="1" selected="0">
            <x v="8"/>
          </reference>
          <reference field="6" count="1" selected="0">
            <x v="3"/>
          </reference>
        </references>
      </pivotArea>
    </format>
    <format dxfId="624">
      <pivotArea dataOnly="0" labelOnly="1" fieldPosition="0">
        <references count="3">
          <reference field="1" count="1">
            <x v="6"/>
          </reference>
          <reference field="5" count="1" selected="0">
            <x v="26"/>
          </reference>
          <reference field="6" count="1" selected="0">
            <x v="4"/>
          </reference>
        </references>
      </pivotArea>
    </format>
    <format dxfId="625">
      <pivotArea dataOnly="0" labelOnly="1" fieldPosition="0">
        <references count="3">
          <reference field="1" count="1">
            <x v="6"/>
          </reference>
          <reference field="5" count="1" selected="0">
            <x v="31"/>
          </reference>
          <reference field="6" count="1" selected="0">
            <x v="4"/>
          </reference>
        </references>
      </pivotArea>
    </format>
    <format dxfId="626">
      <pivotArea dataOnly="0" labelOnly="1" fieldPosition="0">
        <references count="3">
          <reference field="1" count="1">
            <x v="6"/>
          </reference>
          <reference field="5" count="1" selected="0">
            <x v="21"/>
          </reference>
          <reference field="6" count="1" selected="0">
            <x v="5"/>
          </reference>
        </references>
      </pivotArea>
    </format>
    <format dxfId="627">
      <pivotArea dataOnly="0" labelOnly="1" fieldPosition="0">
        <references count="3">
          <reference field="1" count="1">
            <x v="6"/>
          </reference>
          <reference field="5" count="1" selected="0">
            <x v="23"/>
          </reference>
          <reference field="6" count="1" selected="0">
            <x v="5"/>
          </reference>
        </references>
      </pivotArea>
    </format>
    <format dxfId="628">
      <pivotArea dataOnly="0" labelOnly="1" fieldPosition="0">
        <references count="3">
          <reference field="1" count="1">
            <x v="5"/>
          </reference>
          <reference field="5" count="1" selected="0">
            <x v="24"/>
          </reference>
          <reference field="6" count="1" selected="0">
            <x v="6"/>
          </reference>
        </references>
      </pivotArea>
    </format>
    <format dxfId="629">
      <pivotArea dataOnly="0" labelOnly="1" fieldPosition="0">
        <references count="3">
          <reference field="1" count="1">
            <x v="8"/>
          </reference>
          <reference field="5" count="1" selected="0">
            <x v="0"/>
          </reference>
          <reference field="6" count="1" selected="0">
            <x v="7"/>
          </reference>
        </references>
      </pivotArea>
    </format>
    <format dxfId="630">
      <pivotArea dataOnly="0" labelOnly="1" fieldPosition="0">
        <references count="3">
          <reference field="1" count="1">
            <x v="6"/>
          </reference>
          <reference field="5" count="1" selected="0">
            <x v="1"/>
          </reference>
          <reference field="6" count="1" selected="0">
            <x v="7"/>
          </reference>
        </references>
      </pivotArea>
    </format>
    <format dxfId="631">
      <pivotArea dataOnly="0" labelOnly="1" fieldPosition="0">
        <references count="3">
          <reference field="1" count="1">
            <x v="6"/>
          </reference>
          <reference field="5" count="1" selected="0">
            <x v="2"/>
          </reference>
          <reference field="6" count="1" selected="0">
            <x v="7"/>
          </reference>
        </references>
      </pivotArea>
    </format>
    <format dxfId="632">
      <pivotArea dataOnly="0" labelOnly="1" fieldPosition="0">
        <references count="3">
          <reference field="1" count="1">
            <x v="6"/>
          </reference>
          <reference field="5" count="1" selected="0">
            <x v="3"/>
          </reference>
          <reference field="6" count="1" selected="0">
            <x v="7"/>
          </reference>
        </references>
      </pivotArea>
    </format>
    <format dxfId="633">
      <pivotArea dataOnly="0" labelOnly="1" fieldPosition="0">
        <references count="3">
          <reference field="1" count="1">
            <x v="6"/>
          </reference>
          <reference field="5" count="1" selected="0">
            <x v="9"/>
          </reference>
          <reference field="6" count="1" selected="0">
            <x v="7"/>
          </reference>
        </references>
      </pivotArea>
    </format>
    <format dxfId="634">
      <pivotArea dataOnly="0" labelOnly="1" fieldPosition="0">
        <references count="3">
          <reference field="1" count="1">
            <x v="6"/>
          </reference>
          <reference field="5" count="1" selected="0">
            <x v="13"/>
          </reference>
          <reference field="6" count="1" selected="0">
            <x v="7"/>
          </reference>
        </references>
      </pivotArea>
    </format>
    <format dxfId="635">
      <pivotArea dataOnly="0" labelOnly="1" fieldPosition="0">
        <references count="3">
          <reference field="1" count="1">
            <x v="6"/>
          </reference>
          <reference field="5" count="1" selected="0">
            <x v="14"/>
          </reference>
          <reference field="6" count="1" selected="0">
            <x v="7"/>
          </reference>
        </references>
      </pivotArea>
    </format>
    <format dxfId="636">
      <pivotArea dataOnly="0" labelOnly="1" fieldPosition="0">
        <references count="3">
          <reference field="1" count="1">
            <x v="6"/>
          </reference>
          <reference field="5" count="1" selected="0">
            <x v="15"/>
          </reference>
          <reference field="6" count="1" selected="0">
            <x v="7"/>
          </reference>
        </references>
      </pivotArea>
    </format>
    <format dxfId="637">
      <pivotArea dataOnly="0" labelOnly="1" fieldPosition="0">
        <references count="3">
          <reference field="1" count="1">
            <x v="6"/>
          </reference>
          <reference field="5" count="1" selected="0">
            <x v="27"/>
          </reference>
          <reference field="6" count="1" selected="0">
            <x v="7"/>
          </reference>
        </references>
      </pivotArea>
    </format>
    <format dxfId="638">
      <pivotArea dataOnly="0" labelOnly="1" fieldPosition="0">
        <references count="3">
          <reference field="1" count="1">
            <x v="6"/>
          </reference>
          <reference field="5" count="1" selected="0">
            <x v="30"/>
          </reference>
          <reference field="6" count="1" selected="0">
            <x v="7"/>
          </reference>
        </references>
      </pivotArea>
    </format>
    <format dxfId="639">
      <pivotArea dataOnly="0" labelOnly="1" fieldPosition="0">
        <references count="3">
          <reference field="1" count="1">
            <x v="6"/>
          </reference>
          <reference field="5" count="1" selected="0">
            <x v="34"/>
          </reference>
          <reference field="6" count="1" selected="0">
            <x v="7"/>
          </reference>
        </references>
      </pivotArea>
    </format>
    <format dxfId="640">
      <pivotArea dataOnly="0" labelOnly="1" fieldPosition="0">
        <references count="3">
          <reference field="1" count="1">
            <x v="6"/>
          </reference>
          <reference field="5" count="1" selected="0">
            <x v="35"/>
          </reference>
          <reference field="6" count="1" selected="0">
            <x v="7"/>
          </reference>
        </references>
      </pivotArea>
    </format>
    <format dxfId="641">
      <pivotArea dataOnly="0" labelOnly="1" fieldPosition="0">
        <references count="3">
          <reference field="1" count="1">
            <x v="6"/>
          </reference>
          <reference field="5" count="1" selected="0">
            <x v="37"/>
          </reference>
          <reference field="6" count="1" selected="0">
            <x v="7"/>
          </reference>
        </references>
      </pivotArea>
    </format>
    <format dxfId="642">
      <pivotArea dataOnly="0" labelOnly="1" fieldPosition="0">
        <references count="3">
          <reference field="1" count="1">
            <x v="6"/>
          </reference>
          <reference field="5" count="1" selected="0">
            <x v="49"/>
          </reference>
          <reference field="6" count="1" selected="0">
            <x v="7"/>
          </reference>
        </references>
      </pivotArea>
    </format>
    <format dxfId="643">
      <pivotArea dataOnly="0" labelOnly="1" fieldPosition="0">
        <references count="3">
          <reference field="1" count="1">
            <x v="1"/>
          </reference>
          <reference field="5" count="1" selected="0">
            <x v="28"/>
          </reference>
          <reference field="6" count="1" selected="0">
            <x v="8"/>
          </reference>
        </references>
      </pivotArea>
    </format>
    <format dxfId="644">
      <pivotArea dataOnly="0" labelOnly="1" fieldPosition="0">
        <references count="3">
          <reference field="1" count="1">
            <x v="7"/>
          </reference>
          <reference field="5" count="1" selected="0">
            <x v="29"/>
          </reference>
          <reference field="6" count="1" selected="0">
            <x v="8"/>
          </reference>
        </references>
      </pivotArea>
    </format>
    <format dxfId="645">
      <pivotArea dataOnly="0" labelOnly="1" fieldPosition="0">
        <references count="3">
          <reference field="1" count="1">
            <x v="6"/>
          </reference>
          <reference field="5" count="1" selected="0">
            <x v="46"/>
          </reference>
          <reference field="6" count="1" selected="0">
            <x v="8"/>
          </reference>
        </references>
      </pivotArea>
    </format>
    <format dxfId="646">
      <pivotArea dataOnly="0" labelOnly="1" fieldPosition="0">
        <references count="3">
          <reference field="1" count="1">
            <x v="6"/>
          </reference>
          <reference field="5" count="1" selected="0">
            <x v="47"/>
          </reference>
          <reference field="6" count="1" selected="0">
            <x v="8"/>
          </reference>
        </references>
      </pivotArea>
    </format>
    <format dxfId="647">
      <pivotArea dataOnly="0" labelOnly="1" fieldPosition="0">
        <references count="3">
          <reference field="1" count="1">
            <x v="3"/>
          </reference>
          <reference field="5" count="1" selected="0">
            <x v="18"/>
          </reference>
          <reference field="6" count="1" selected="0">
            <x v="9"/>
          </reference>
        </references>
      </pivotArea>
    </format>
    <format dxfId="648">
      <pivotArea dataOnly="0" labelOnly="1" fieldPosition="0">
        <references count="3">
          <reference field="1" count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649">
      <pivotArea dataOnly="0" labelOnly="1" fieldPosition="0">
        <references count="3">
          <reference field="1" count="1">
            <x v="6"/>
          </reference>
          <reference field="5" count="1" selected="0">
            <x v="11"/>
          </reference>
          <reference field="6" count="1" selected="0">
            <x v="11"/>
          </reference>
        </references>
      </pivotArea>
    </format>
    <format dxfId="650">
      <pivotArea dataOnly="0" labelOnly="1" fieldPosition="0">
        <references count="3">
          <reference field="1" count="1">
            <x v="6"/>
          </reference>
          <reference field="5" count="1" selected="0">
            <x v="48"/>
          </reference>
          <reference field="6" count="1" selected="0">
            <x v="11"/>
          </reference>
        </references>
      </pivotArea>
    </format>
    <format dxfId="651">
      <pivotArea dataOnly="0" labelOnly="1" fieldPosition="0">
        <references count="3">
          <reference field="1" count="1">
            <x v="6"/>
          </reference>
          <reference field="5" count="1" selected="0">
            <x v="45"/>
          </reference>
          <reference field="6" count="1" selected="0">
            <x v="12"/>
          </reference>
        </references>
      </pivotArea>
    </format>
    <format dxfId="652">
      <pivotArea dataOnly="0" labelOnly="1" fieldPosition="0">
        <references count="3">
          <reference field="1" count="1">
            <x v="6"/>
          </reference>
          <reference field="5" count="1" selected="0">
            <x v="38"/>
          </reference>
          <reference field="6" count="1" selected="0">
            <x v="13"/>
          </reference>
        </references>
      </pivotArea>
    </format>
    <format dxfId="653">
      <pivotArea dataOnly="0" labelOnly="1" fieldPosition="0">
        <references count="3">
          <reference field="1" count="1">
            <x v="6"/>
          </reference>
          <reference field="5" count="1" selected="0">
            <x v="39"/>
          </reference>
          <reference field="6" count="1" selected="0">
            <x v="13"/>
          </reference>
        </references>
      </pivotArea>
    </format>
    <format dxfId="654">
      <pivotArea dataOnly="0" labelOnly="1" fieldPosition="0">
        <references count="3">
          <reference field="1" count="1">
            <x v="6"/>
          </reference>
          <reference field="5" count="1" selected="0">
            <x v="40"/>
          </reference>
          <reference field="6" count="1" selected="0">
            <x v="13"/>
          </reference>
        </references>
      </pivotArea>
    </format>
    <format dxfId="655">
      <pivotArea dataOnly="0" labelOnly="1" fieldPosition="0">
        <references count="3">
          <reference field="1" count="1">
            <x v="6"/>
          </reference>
          <reference field="5" count="1" selected="0">
            <x v="41"/>
          </reference>
          <reference field="6" count="1" selected="0">
            <x v="13"/>
          </reference>
        </references>
      </pivotArea>
    </format>
    <format dxfId="656">
      <pivotArea dataOnly="0" labelOnly="1" fieldPosition="0">
        <references count="3">
          <reference field="1" count="1">
            <x v="6"/>
          </reference>
          <reference field="5" count="1" selected="0">
            <x v="42"/>
          </reference>
          <reference field="6" count="1" selected="0">
            <x v="13"/>
          </reference>
        </references>
      </pivotArea>
    </format>
    <format dxfId="657">
      <pivotArea dataOnly="0" labelOnly="1" fieldPosition="0">
        <references count="3">
          <reference field="1" count="1">
            <x v="6"/>
          </reference>
          <reference field="5" count="1" selected="0">
            <x v="43"/>
          </reference>
          <reference field="6" count="1" selected="0">
            <x v="13"/>
          </reference>
        </references>
      </pivotArea>
    </format>
    <format dxfId="658">
      <pivotArea dataOnly="0" labelOnly="1" fieldPosition="0">
        <references count="3">
          <reference field="1" count="1">
            <x v="7"/>
          </reference>
          <reference field="5" count="1" selected="0">
            <x v="44"/>
          </reference>
          <reference field="6" count="1" selected="0">
            <x v="13"/>
          </reference>
        </references>
      </pivotArea>
    </format>
    <format dxfId="659">
      <pivotArea dataOnly="0" labelOnly="1" fieldPosition="0">
        <references count="3">
          <reference field="1" count="1">
            <x v="6"/>
          </reference>
          <reference field="5" count="1" selected="0">
            <x v="6"/>
          </reference>
          <reference field="6" count="1" selected="0">
            <x v="14"/>
          </reference>
        </references>
      </pivotArea>
    </format>
    <format dxfId="660">
      <pivotArea dataOnly="0" labelOnly="1" fieldPosition="0">
        <references count="3">
          <reference field="1" count="1">
            <x v="6"/>
          </reference>
          <reference field="5" count="1" selected="0">
            <x v="17"/>
          </reference>
          <reference field="6" count="1" selected="0">
            <x v="14"/>
          </reference>
        </references>
      </pivotArea>
    </format>
    <format dxfId="661">
      <pivotArea dataOnly="0" labelOnly="1" fieldPosition="0">
        <references count="3">
          <reference field="1" count="1">
            <x v="6"/>
          </reference>
          <reference field="5" count="1" selected="0">
            <x v="19"/>
          </reference>
          <reference field="6" count="1" selected="0">
            <x v="14"/>
          </reference>
        </references>
      </pivotArea>
    </format>
    <format dxfId="662">
      <pivotArea dataOnly="0" labelOnly="1" fieldPosition="0">
        <references count="3">
          <reference field="1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63">
      <pivotArea dataOnly="0" labelOnly="1" fieldPosition="0">
        <references count="3">
          <reference field="1" count="1">
            <x v="6"/>
          </reference>
          <reference field="5" count="1" selected="0">
            <x v="25"/>
          </reference>
          <reference field="6" count="1" selected="0">
            <x v="14"/>
          </reference>
        </references>
      </pivotArea>
    </format>
    <format dxfId="664">
      <pivotArea dataOnly="0" labelOnly="1" fieldPosition="0">
        <references count="3">
          <reference field="1" count="2">
            <x v="2"/>
            <x v="6"/>
          </reference>
          <reference field="5" count="1" selected="0">
            <x v="32"/>
          </reference>
          <reference field="6" count="1" selected="0">
            <x v="14"/>
          </reference>
        </references>
      </pivotArea>
    </format>
    <format dxfId="665">
      <pivotArea dataOnly="0" labelOnly="1" fieldPosition="0">
        <references count="3">
          <reference field="1" count="1">
            <x v="6"/>
          </reference>
          <reference field="5" count="1" selected="0">
            <x v="33"/>
          </reference>
          <reference field="6" count="1" selected="0">
            <x v="14"/>
          </reference>
        </references>
      </pivotArea>
    </format>
    <format dxfId="666">
      <pivotArea dataOnly="0" labelOnly="1" fieldPosition="0">
        <references count="3">
          <reference field="1" count="1">
            <x v="3"/>
          </reference>
          <reference field="5" count="1" selected="0">
            <x v="50"/>
          </reference>
          <reference field="6" count="1" selected="0">
            <x v="14"/>
          </reference>
        </references>
      </pivotArea>
    </format>
    <format dxfId="667">
      <pivotArea dataOnly="0" labelOnly="1" fieldPosition="0">
        <references count="3">
          <reference field="1" count="1">
            <x v="6"/>
          </reference>
          <reference field="5" count="1" selected="0">
            <x v="7"/>
          </reference>
          <reference field="6" count="1" selected="0">
            <x v="15"/>
          </reference>
        </references>
      </pivotArea>
    </format>
    <format dxfId="668">
      <pivotArea dataOnly="0" labelOnly="1" fieldPosition="0">
        <references count="3">
          <reference field="1" count="1">
            <x v="6"/>
          </reference>
          <reference field="5" count="1" selected="0">
            <x v="12"/>
          </reference>
          <reference field="6" count="1" selected="0">
            <x v="15"/>
          </reference>
        </references>
      </pivotArea>
    </format>
    <format dxfId="669">
      <pivotArea dataOnly="0" labelOnly="1" fieldPosition="0">
        <references count="3">
          <reference field="1" count="1">
            <x v="6"/>
          </reference>
          <reference field="5" count="1" selected="0">
            <x v="4"/>
          </reference>
          <reference field="6" count="1" selected="0">
            <x v="16"/>
          </reference>
        </references>
      </pivotArea>
    </format>
    <format dxfId="670">
      <pivotArea dataOnly="0" labelOnly="1" fieldPosition="0">
        <references count="3">
          <reference field="1" count="1">
            <x v="7"/>
          </reference>
          <reference field="5" count="1" selected="0">
            <x v="51"/>
          </reference>
          <reference field="6" count="1" selected="0">
            <x v="17"/>
          </reference>
        </references>
      </pivotArea>
    </format>
    <format dxfId="6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72">
      <pivotArea type="all" dataOnly="0" outline="0" fieldPosition="0"/>
    </format>
    <format dxfId="673">
      <pivotArea outline="0" collapsedLevelsAreSubtotals="1" fieldPosition="0"/>
    </format>
    <format dxfId="674">
      <pivotArea field="6" type="button" dataOnly="0" labelOnly="1" outline="0" axis="axisRow" fieldPosition="0"/>
    </format>
    <format dxfId="675">
      <pivotArea field="5" type="button" dataOnly="0" labelOnly="1" outline="0" axis="axisRow" fieldPosition="1"/>
    </format>
    <format dxfId="676">
      <pivotArea field="1" type="button" dataOnly="0" labelOnly="1" outline="0" axis="axisRow" fieldPosition="2"/>
    </format>
    <format dxfId="677">
      <pivotArea dataOnly="0" labelOnly="1" fieldPosition="0">
        <references count="1">
          <reference field="6" count="0"/>
        </references>
      </pivotArea>
    </format>
    <format dxfId="678">
      <pivotArea dataOnly="0" labelOnly="1" grandRow="1" outline="0" fieldPosition="0"/>
    </format>
    <format dxfId="679">
      <pivotArea dataOnly="0" labelOnly="1" fieldPosition="0">
        <references count="2">
          <reference field="5" count="1">
            <x v="5"/>
          </reference>
          <reference field="6" count="1" selected="0">
            <x v="0"/>
          </reference>
        </references>
      </pivotArea>
    </format>
    <format dxfId="680">
      <pivotArea dataOnly="0" labelOnly="1" fieldPosition="0">
        <references count="2">
          <reference field="5" count="1">
            <x v="10"/>
          </reference>
          <reference field="6" count="1" selected="0">
            <x v="1"/>
          </reference>
        </references>
      </pivotArea>
    </format>
    <format dxfId="681">
      <pivotArea dataOnly="0" labelOnly="1" fieldPosition="0">
        <references count="2">
          <reference field="5" count="2">
            <x v="16"/>
            <x v="22"/>
          </reference>
          <reference field="6" count="1" selected="0">
            <x v="2"/>
          </reference>
        </references>
      </pivotArea>
    </format>
    <format dxfId="682">
      <pivotArea dataOnly="0" labelOnly="1" fieldPosition="0">
        <references count="2">
          <reference field="5" count="1">
            <x v="8"/>
          </reference>
          <reference field="6" count="1" selected="0">
            <x v="3"/>
          </reference>
        </references>
      </pivotArea>
    </format>
    <format dxfId="683">
      <pivotArea dataOnly="0" labelOnly="1" fieldPosition="0">
        <references count="2">
          <reference field="5" count="2">
            <x v="26"/>
            <x v="31"/>
          </reference>
          <reference field="6" count="1" selected="0">
            <x v="4"/>
          </reference>
        </references>
      </pivotArea>
    </format>
    <format dxfId="684">
      <pivotArea dataOnly="0" labelOnly="1" fieldPosition="0">
        <references count="2">
          <reference field="5" count="2">
            <x v="21"/>
            <x v="23"/>
          </reference>
          <reference field="6" count="1" selected="0">
            <x v="5"/>
          </reference>
        </references>
      </pivotArea>
    </format>
    <format dxfId="685">
      <pivotArea dataOnly="0" labelOnly="1" fieldPosition="0">
        <references count="2">
          <reference field="5" count="1">
            <x v="24"/>
          </reference>
          <reference field="6" count="1" selected="0">
            <x v="6"/>
          </reference>
        </references>
      </pivotArea>
    </format>
    <format dxfId="686">
      <pivotArea dataOnly="0" labelOnly="1" fieldPosition="0">
        <references count="2">
          <reference field="5" count="14">
            <x v="0"/>
            <x v="1"/>
            <x v="2"/>
            <x v="3"/>
            <x v="9"/>
            <x v="13"/>
            <x v="14"/>
            <x v="15"/>
            <x v="27"/>
            <x v="30"/>
            <x v="34"/>
            <x v="35"/>
            <x v="37"/>
            <x v="49"/>
          </reference>
          <reference field="6" count="1" selected="0">
            <x v="7"/>
          </reference>
        </references>
      </pivotArea>
    </format>
    <format dxfId="687">
      <pivotArea dataOnly="0" labelOnly="1" fieldPosition="0">
        <references count="2">
          <reference field="5" count="4">
            <x v="28"/>
            <x v="29"/>
            <x v="46"/>
            <x v="47"/>
          </reference>
          <reference field="6" count="1" selected="0">
            <x v="8"/>
          </reference>
        </references>
      </pivotArea>
    </format>
    <format dxfId="688">
      <pivotArea dataOnly="0" labelOnly="1" fieldPosition="0">
        <references count="2">
          <reference field="5" count="1">
            <x v="18"/>
          </reference>
          <reference field="6" count="1" selected="0">
            <x v="9"/>
          </reference>
        </references>
      </pivotArea>
    </format>
    <format dxfId="689">
      <pivotArea dataOnly="0" labelOnly="1" fieldPosition="0">
        <references count="2">
          <reference field="5" count="1">
            <x v="36"/>
          </reference>
          <reference field="6" count="1" selected="0">
            <x v="10"/>
          </reference>
        </references>
      </pivotArea>
    </format>
    <format dxfId="690">
      <pivotArea dataOnly="0" labelOnly="1" fieldPosition="0">
        <references count="2">
          <reference field="5" count="2">
            <x v="11"/>
            <x v="48"/>
          </reference>
          <reference field="6" count="1" selected="0">
            <x v="11"/>
          </reference>
        </references>
      </pivotArea>
    </format>
    <format dxfId="691">
      <pivotArea dataOnly="0" labelOnly="1" fieldPosition="0">
        <references count="2">
          <reference field="5" count="1">
            <x v="45"/>
          </reference>
          <reference field="6" count="1" selected="0">
            <x v="12"/>
          </reference>
        </references>
      </pivotArea>
    </format>
    <format dxfId="692">
      <pivotArea dataOnly="0" labelOnly="1" fieldPosition="0">
        <references count="2">
          <reference field="5" count="7">
            <x v="38"/>
            <x v="39"/>
            <x v="40"/>
            <x v="41"/>
            <x v="42"/>
            <x v="43"/>
            <x v="44"/>
          </reference>
          <reference field="6" count="1" selected="0">
            <x v="13"/>
          </reference>
        </references>
      </pivotArea>
    </format>
    <format dxfId="693">
      <pivotArea dataOnly="0" labelOnly="1" fieldPosition="0">
        <references count="2">
          <reference field="5" count="8">
            <x v="6"/>
            <x v="17"/>
            <x v="19"/>
            <x v="20"/>
            <x v="25"/>
            <x v="32"/>
            <x v="33"/>
            <x v="50"/>
          </reference>
          <reference field="6" count="1" selected="0">
            <x v="14"/>
          </reference>
        </references>
      </pivotArea>
    </format>
    <format dxfId="694">
      <pivotArea dataOnly="0" labelOnly="1" fieldPosition="0">
        <references count="2">
          <reference field="5" count="2">
            <x v="7"/>
            <x v="12"/>
          </reference>
          <reference field="6" count="1" selected="0">
            <x v="15"/>
          </reference>
        </references>
      </pivotArea>
    </format>
    <format dxfId="695">
      <pivotArea dataOnly="0" labelOnly="1" fieldPosition="0">
        <references count="2">
          <reference field="5" count="1">
            <x v="4"/>
          </reference>
          <reference field="6" count="1" selected="0">
            <x v="16"/>
          </reference>
        </references>
      </pivotArea>
    </format>
    <format dxfId="696">
      <pivotArea dataOnly="0" labelOnly="1" fieldPosition="0">
        <references count="2">
          <reference field="5" count="1">
            <x v="51"/>
          </reference>
          <reference field="6" count="1" selected="0">
            <x v="17"/>
          </reference>
        </references>
      </pivotArea>
    </format>
    <format dxfId="697">
      <pivotArea dataOnly="0" labelOnly="1" fieldPosition="0">
        <references count="3">
          <reference field="1" count="1">
            <x v="7"/>
          </reference>
          <reference field="5" count="1" selected="0">
            <x v="5"/>
          </reference>
          <reference field="6" count="1" selected="0">
            <x v="0"/>
          </reference>
        </references>
      </pivotArea>
    </format>
    <format dxfId="698">
      <pivotArea dataOnly="0" labelOnly="1" fieldPosition="0">
        <references count="3">
          <reference field="1" count="1">
            <x v="0"/>
          </reference>
          <reference field="5" count="1" selected="0">
            <x v="10"/>
          </reference>
          <reference field="6" count="1" selected="0">
            <x v="1"/>
          </reference>
        </references>
      </pivotArea>
    </format>
    <format dxfId="699">
      <pivotArea dataOnly="0" labelOnly="1" fieldPosition="0">
        <references count="3">
          <reference field="1" count="1">
            <x v="6"/>
          </reference>
          <reference field="5" count="1" selected="0">
            <x v="16"/>
          </reference>
          <reference field="6" count="1" selected="0">
            <x v="2"/>
          </reference>
        </references>
      </pivotArea>
    </format>
    <format dxfId="700">
      <pivotArea dataOnly="0" labelOnly="1" fieldPosition="0">
        <references count="3">
          <reference field="1" count="1">
            <x v="6"/>
          </reference>
          <reference field="5" count="1" selected="0">
            <x v="22"/>
          </reference>
          <reference field="6" count="1" selected="0">
            <x v="2"/>
          </reference>
        </references>
      </pivotArea>
    </format>
    <format dxfId="701">
      <pivotArea dataOnly="0" labelOnly="1" fieldPosition="0">
        <references count="3">
          <reference field="1" count="1">
            <x v="6"/>
          </reference>
          <reference field="5" count="1" selected="0">
            <x v="8"/>
          </reference>
          <reference field="6" count="1" selected="0">
            <x v="3"/>
          </reference>
        </references>
      </pivotArea>
    </format>
    <format dxfId="702">
      <pivotArea dataOnly="0" labelOnly="1" fieldPosition="0">
        <references count="3">
          <reference field="1" count="1">
            <x v="6"/>
          </reference>
          <reference field="5" count="1" selected="0">
            <x v="26"/>
          </reference>
          <reference field="6" count="1" selected="0">
            <x v="4"/>
          </reference>
        </references>
      </pivotArea>
    </format>
    <format dxfId="703">
      <pivotArea dataOnly="0" labelOnly="1" fieldPosition="0">
        <references count="3">
          <reference field="1" count="1">
            <x v="6"/>
          </reference>
          <reference field="5" count="1" selected="0">
            <x v="31"/>
          </reference>
          <reference field="6" count="1" selected="0">
            <x v="4"/>
          </reference>
        </references>
      </pivotArea>
    </format>
    <format dxfId="704">
      <pivotArea dataOnly="0" labelOnly="1" fieldPosition="0">
        <references count="3">
          <reference field="1" count="1">
            <x v="6"/>
          </reference>
          <reference field="5" count="1" selected="0">
            <x v="21"/>
          </reference>
          <reference field="6" count="1" selected="0">
            <x v="5"/>
          </reference>
        </references>
      </pivotArea>
    </format>
    <format dxfId="705">
      <pivotArea dataOnly="0" labelOnly="1" fieldPosition="0">
        <references count="3">
          <reference field="1" count="1">
            <x v="6"/>
          </reference>
          <reference field="5" count="1" selected="0">
            <x v="23"/>
          </reference>
          <reference field="6" count="1" selected="0">
            <x v="5"/>
          </reference>
        </references>
      </pivotArea>
    </format>
    <format dxfId="706">
      <pivotArea dataOnly="0" labelOnly="1" fieldPosition="0">
        <references count="3">
          <reference field="1" count="1">
            <x v="5"/>
          </reference>
          <reference field="5" count="1" selected="0">
            <x v="24"/>
          </reference>
          <reference field="6" count="1" selected="0">
            <x v="6"/>
          </reference>
        </references>
      </pivotArea>
    </format>
    <format dxfId="707">
      <pivotArea dataOnly="0" labelOnly="1" fieldPosition="0">
        <references count="3">
          <reference field="1" count="1">
            <x v="8"/>
          </reference>
          <reference field="5" count="1" selected="0">
            <x v="0"/>
          </reference>
          <reference field="6" count="1" selected="0">
            <x v="7"/>
          </reference>
        </references>
      </pivotArea>
    </format>
    <format dxfId="708">
      <pivotArea dataOnly="0" labelOnly="1" fieldPosition="0">
        <references count="3">
          <reference field="1" count="1">
            <x v="6"/>
          </reference>
          <reference field="5" count="1" selected="0">
            <x v="1"/>
          </reference>
          <reference field="6" count="1" selected="0">
            <x v="7"/>
          </reference>
        </references>
      </pivotArea>
    </format>
    <format dxfId="709">
      <pivotArea dataOnly="0" labelOnly="1" fieldPosition="0">
        <references count="3">
          <reference field="1" count="1">
            <x v="6"/>
          </reference>
          <reference field="5" count="1" selected="0">
            <x v="2"/>
          </reference>
          <reference field="6" count="1" selected="0">
            <x v="7"/>
          </reference>
        </references>
      </pivotArea>
    </format>
    <format dxfId="710">
      <pivotArea dataOnly="0" labelOnly="1" fieldPosition="0">
        <references count="3">
          <reference field="1" count="1">
            <x v="6"/>
          </reference>
          <reference field="5" count="1" selected="0">
            <x v="3"/>
          </reference>
          <reference field="6" count="1" selected="0">
            <x v="7"/>
          </reference>
        </references>
      </pivotArea>
    </format>
    <format dxfId="711">
      <pivotArea dataOnly="0" labelOnly="1" fieldPosition="0">
        <references count="3">
          <reference field="1" count="1">
            <x v="6"/>
          </reference>
          <reference field="5" count="1" selected="0">
            <x v="9"/>
          </reference>
          <reference field="6" count="1" selected="0">
            <x v="7"/>
          </reference>
        </references>
      </pivotArea>
    </format>
    <format dxfId="712">
      <pivotArea dataOnly="0" labelOnly="1" fieldPosition="0">
        <references count="3">
          <reference field="1" count="1">
            <x v="6"/>
          </reference>
          <reference field="5" count="1" selected="0">
            <x v="13"/>
          </reference>
          <reference field="6" count="1" selected="0">
            <x v="7"/>
          </reference>
        </references>
      </pivotArea>
    </format>
    <format dxfId="713">
      <pivotArea dataOnly="0" labelOnly="1" fieldPosition="0">
        <references count="3">
          <reference field="1" count="1">
            <x v="6"/>
          </reference>
          <reference field="5" count="1" selected="0">
            <x v="14"/>
          </reference>
          <reference field="6" count="1" selected="0">
            <x v="7"/>
          </reference>
        </references>
      </pivotArea>
    </format>
    <format dxfId="714">
      <pivotArea dataOnly="0" labelOnly="1" fieldPosition="0">
        <references count="3">
          <reference field="1" count="1">
            <x v="6"/>
          </reference>
          <reference field="5" count="1" selected="0">
            <x v="15"/>
          </reference>
          <reference field="6" count="1" selected="0">
            <x v="7"/>
          </reference>
        </references>
      </pivotArea>
    </format>
    <format dxfId="715">
      <pivotArea dataOnly="0" labelOnly="1" fieldPosition="0">
        <references count="3">
          <reference field="1" count="1">
            <x v="6"/>
          </reference>
          <reference field="5" count="1" selected="0">
            <x v="27"/>
          </reference>
          <reference field="6" count="1" selected="0">
            <x v="7"/>
          </reference>
        </references>
      </pivotArea>
    </format>
    <format dxfId="716">
      <pivotArea dataOnly="0" labelOnly="1" fieldPosition="0">
        <references count="3">
          <reference field="1" count="1">
            <x v="6"/>
          </reference>
          <reference field="5" count="1" selected="0">
            <x v="30"/>
          </reference>
          <reference field="6" count="1" selected="0">
            <x v="7"/>
          </reference>
        </references>
      </pivotArea>
    </format>
    <format dxfId="717">
      <pivotArea dataOnly="0" labelOnly="1" fieldPosition="0">
        <references count="3">
          <reference field="1" count="1">
            <x v="6"/>
          </reference>
          <reference field="5" count="1" selected="0">
            <x v="34"/>
          </reference>
          <reference field="6" count="1" selected="0">
            <x v="7"/>
          </reference>
        </references>
      </pivotArea>
    </format>
    <format dxfId="718">
      <pivotArea dataOnly="0" labelOnly="1" fieldPosition="0">
        <references count="3">
          <reference field="1" count="1">
            <x v="6"/>
          </reference>
          <reference field="5" count="1" selected="0">
            <x v="35"/>
          </reference>
          <reference field="6" count="1" selected="0">
            <x v="7"/>
          </reference>
        </references>
      </pivotArea>
    </format>
    <format dxfId="719">
      <pivotArea dataOnly="0" labelOnly="1" fieldPosition="0">
        <references count="3">
          <reference field="1" count="1">
            <x v="6"/>
          </reference>
          <reference field="5" count="1" selected="0">
            <x v="37"/>
          </reference>
          <reference field="6" count="1" selected="0">
            <x v="7"/>
          </reference>
        </references>
      </pivotArea>
    </format>
    <format dxfId="720">
      <pivotArea dataOnly="0" labelOnly="1" fieldPosition="0">
        <references count="3">
          <reference field="1" count="1">
            <x v="6"/>
          </reference>
          <reference field="5" count="1" selected="0">
            <x v="49"/>
          </reference>
          <reference field="6" count="1" selected="0">
            <x v="7"/>
          </reference>
        </references>
      </pivotArea>
    </format>
    <format dxfId="721">
      <pivotArea dataOnly="0" labelOnly="1" fieldPosition="0">
        <references count="3">
          <reference field="1" count="1">
            <x v="1"/>
          </reference>
          <reference field="5" count="1" selected="0">
            <x v="28"/>
          </reference>
          <reference field="6" count="1" selected="0">
            <x v="8"/>
          </reference>
        </references>
      </pivotArea>
    </format>
    <format dxfId="722">
      <pivotArea dataOnly="0" labelOnly="1" fieldPosition="0">
        <references count="3">
          <reference field="1" count="1">
            <x v="7"/>
          </reference>
          <reference field="5" count="1" selected="0">
            <x v="29"/>
          </reference>
          <reference field="6" count="1" selected="0">
            <x v="8"/>
          </reference>
        </references>
      </pivotArea>
    </format>
    <format dxfId="723">
      <pivotArea dataOnly="0" labelOnly="1" fieldPosition="0">
        <references count="3">
          <reference field="1" count="1">
            <x v="6"/>
          </reference>
          <reference field="5" count="1" selected="0">
            <x v="46"/>
          </reference>
          <reference field="6" count="1" selected="0">
            <x v="8"/>
          </reference>
        </references>
      </pivotArea>
    </format>
    <format dxfId="724">
      <pivotArea dataOnly="0" labelOnly="1" fieldPosition="0">
        <references count="3">
          <reference field="1" count="1">
            <x v="6"/>
          </reference>
          <reference field="5" count="1" selected="0">
            <x v="47"/>
          </reference>
          <reference field="6" count="1" selected="0">
            <x v="8"/>
          </reference>
        </references>
      </pivotArea>
    </format>
    <format dxfId="725">
      <pivotArea dataOnly="0" labelOnly="1" fieldPosition="0">
        <references count="3">
          <reference field="1" count="1">
            <x v="3"/>
          </reference>
          <reference field="5" count="1" selected="0">
            <x v="18"/>
          </reference>
          <reference field="6" count="1" selected="0">
            <x v="9"/>
          </reference>
        </references>
      </pivotArea>
    </format>
    <format dxfId="726">
      <pivotArea dataOnly="0" labelOnly="1" fieldPosition="0">
        <references count="3">
          <reference field="1" count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727">
      <pivotArea dataOnly="0" labelOnly="1" fieldPosition="0">
        <references count="3">
          <reference field="1" count="1">
            <x v="6"/>
          </reference>
          <reference field="5" count="1" selected="0">
            <x v="11"/>
          </reference>
          <reference field="6" count="1" selected="0">
            <x v="11"/>
          </reference>
        </references>
      </pivotArea>
    </format>
    <format dxfId="728">
      <pivotArea dataOnly="0" labelOnly="1" fieldPosition="0">
        <references count="3">
          <reference field="1" count="1">
            <x v="6"/>
          </reference>
          <reference field="5" count="1" selected="0">
            <x v="48"/>
          </reference>
          <reference field="6" count="1" selected="0">
            <x v="11"/>
          </reference>
        </references>
      </pivotArea>
    </format>
    <format dxfId="729">
      <pivotArea dataOnly="0" labelOnly="1" fieldPosition="0">
        <references count="3">
          <reference field="1" count="1">
            <x v="6"/>
          </reference>
          <reference field="5" count="1" selected="0">
            <x v="45"/>
          </reference>
          <reference field="6" count="1" selected="0">
            <x v="12"/>
          </reference>
        </references>
      </pivotArea>
    </format>
    <format dxfId="730">
      <pivotArea dataOnly="0" labelOnly="1" fieldPosition="0">
        <references count="3">
          <reference field="1" count="1">
            <x v="6"/>
          </reference>
          <reference field="5" count="1" selected="0">
            <x v="38"/>
          </reference>
          <reference field="6" count="1" selected="0">
            <x v="13"/>
          </reference>
        </references>
      </pivotArea>
    </format>
    <format dxfId="731">
      <pivotArea dataOnly="0" labelOnly="1" fieldPosition="0">
        <references count="3">
          <reference field="1" count="1">
            <x v="6"/>
          </reference>
          <reference field="5" count="1" selected="0">
            <x v="39"/>
          </reference>
          <reference field="6" count="1" selected="0">
            <x v="13"/>
          </reference>
        </references>
      </pivotArea>
    </format>
    <format dxfId="732">
      <pivotArea dataOnly="0" labelOnly="1" fieldPosition="0">
        <references count="3">
          <reference field="1" count="1">
            <x v="6"/>
          </reference>
          <reference field="5" count="1" selected="0">
            <x v="40"/>
          </reference>
          <reference field="6" count="1" selected="0">
            <x v="13"/>
          </reference>
        </references>
      </pivotArea>
    </format>
    <format dxfId="733">
      <pivotArea dataOnly="0" labelOnly="1" fieldPosition="0">
        <references count="3">
          <reference field="1" count="1">
            <x v="6"/>
          </reference>
          <reference field="5" count="1" selected="0">
            <x v="41"/>
          </reference>
          <reference field="6" count="1" selected="0">
            <x v="13"/>
          </reference>
        </references>
      </pivotArea>
    </format>
    <format dxfId="734">
      <pivotArea dataOnly="0" labelOnly="1" fieldPosition="0">
        <references count="3">
          <reference field="1" count="1">
            <x v="6"/>
          </reference>
          <reference field="5" count="1" selected="0">
            <x v="42"/>
          </reference>
          <reference field="6" count="1" selected="0">
            <x v="13"/>
          </reference>
        </references>
      </pivotArea>
    </format>
    <format dxfId="735">
      <pivotArea dataOnly="0" labelOnly="1" fieldPosition="0">
        <references count="3">
          <reference field="1" count="1">
            <x v="6"/>
          </reference>
          <reference field="5" count="1" selected="0">
            <x v="43"/>
          </reference>
          <reference field="6" count="1" selected="0">
            <x v="13"/>
          </reference>
        </references>
      </pivotArea>
    </format>
    <format dxfId="736">
      <pivotArea dataOnly="0" labelOnly="1" fieldPosition="0">
        <references count="3">
          <reference field="1" count="1">
            <x v="7"/>
          </reference>
          <reference field="5" count="1" selected="0">
            <x v="44"/>
          </reference>
          <reference field="6" count="1" selected="0">
            <x v="13"/>
          </reference>
        </references>
      </pivotArea>
    </format>
    <format dxfId="737">
      <pivotArea dataOnly="0" labelOnly="1" fieldPosition="0">
        <references count="3">
          <reference field="1" count="1">
            <x v="6"/>
          </reference>
          <reference field="5" count="1" selected="0">
            <x v="6"/>
          </reference>
          <reference field="6" count="1" selected="0">
            <x v="14"/>
          </reference>
        </references>
      </pivotArea>
    </format>
    <format dxfId="738">
      <pivotArea dataOnly="0" labelOnly="1" fieldPosition="0">
        <references count="3">
          <reference field="1" count="1">
            <x v="6"/>
          </reference>
          <reference field="5" count="1" selected="0">
            <x v="17"/>
          </reference>
          <reference field="6" count="1" selected="0">
            <x v="14"/>
          </reference>
        </references>
      </pivotArea>
    </format>
    <format dxfId="739">
      <pivotArea dataOnly="0" labelOnly="1" fieldPosition="0">
        <references count="3">
          <reference field="1" count="1">
            <x v="6"/>
          </reference>
          <reference field="5" count="1" selected="0">
            <x v="19"/>
          </reference>
          <reference field="6" count="1" selected="0">
            <x v="14"/>
          </reference>
        </references>
      </pivotArea>
    </format>
    <format dxfId="740">
      <pivotArea dataOnly="0" labelOnly="1" fieldPosition="0">
        <references count="3">
          <reference field="1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741">
      <pivotArea dataOnly="0" labelOnly="1" fieldPosition="0">
        <references count="3">
          <reference field="1" count="1">
            <x v="6"/>
          </reference>
          <reference field="5" count="1" selected="0">
            <x v="25"/>
          </reference>
          <reference field="6" count="1" selected="0">
            <x v="14"/>
          </reference>
        </references>
      </pivotArea>
    </format>
    <format dxfId="742">
      <pivotArea dataOnly="0" labelOnly="1" fieldPosition="0">
        <references count="3">
          <reference field="1" count="2">
            <x v="2"/>
            <x v="6"/>
          </reference>
          <reference field="5" count="1" selected="0">
            <x v="32"/>
          </reference>
          <reference field="6" count="1" selected="0">
            <x v="14"/>
          </reference>
        </references>
      </pivotArea>
    </format>
    <format dxfId="743">
      <pivotArea dataOnly="0" labelOnly="1" fieldPosition="0">
        <references count="3">
          <reference field="1" count="1">
            <x v="6"/>
          </reference>
          <reference field="5" count="1" selected="0">
            <x v="33"/>
          </reference>
          <reference field="6" count="1" selected="0">
            <x v="14"/>
          </reference>
        </references>
      </pivotArea>
    </format>
    <format dxfId="744">
      <pivotArea dataOnly="0" labelOnly="1" fieldPosition="0">
        <references count="3">
          <reference field="1" count="1">
            <x v="3"/>
          </reference>
          <reference field="5" count="1" selected="0">
            <x v="50"/>
          </reference>
          <reference field="6" count="1" selected="0">
            <x v="14"/>
          </reference>
        </references>
      </pivotArea>
    </format>
    <format dxfId="745">
      <pivotArea dataOnly="0" labelOnly="1" fieldPosition="0">
        <references count="3">
          <reference field="1" count="1">
            <x v="6"/>
          </reference>
          <reference field="5" count="1" selected="0">
            <x v="7"/>
          </reference>
          <reference field="6" count="1" selected="0">
            <x v="15"/>
          </reference>
        </references>
      </pivotArea>
    </format>
    <format dxfId="746">
      <pivotArea dataOnly="0" labelOnly="1" fieldPosition="0">
        <references count="3">
          <reference field="1" count="1">
            <x v="6"/>
          </reference>
          <reference field="5" count="1" selected="0">
            <x v="12"/>
          </reference>
          <reference field="6" count="1" selected="0">
            <x v="15"/>
          </reference>
        </references>
      </pivotArea>
    </format>
    <format dxfId="747">
      <pivotArea dataOnly="0" labelOnly="1" fieldPosition="0">
        <references count="3">
          <reference field="1" count="1">
            <x v="6"/>
          </reference>
          <reference field="5" count="1" selected="0">
            <x v="4"/>
          </reference>
          <reference field="6" count="1" selected="0">
            <x v="16"/>
          </reference>
        </references>
      </pivotArea>
    </format>
    <format dxfId="748">
      <pivotArea dataOnly="0" labelOnly="1" fieldPosition="0">
        <references count="3">
          <reference field="1" count="1">
            <x v="7"/>
          </reference>
          <reference field="5" count="1" selected="0">
            <x v="51"/>
          </reference>
          <reference field="6" count="1" selected="0">
            <x v="17"/>
          </reference>
        </references>
      </pivotArea>
    </format>
    <format dxfId="7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Tabela Dinâmica Padrão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9F390-DD45-46BA-94DD-FA34DF390012}" name="Tabela dinâmica1" cacheId="98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mergeItem="1" createdVersion="8" indent="0" outline="1" outlineData="1" multipleFieldFilters="0" rowHeaderCaption=" Grupo ">
  <location ref="I5:N101" firstHeaderRow="0" firstDataRow="1" firstDataCol="3"/>
  <pivotFields count="7">
    <pivotField showAll="0"/>
    <pivotField axis="axisRow" outline="0" showAll="0" sortType="descending" defaultSubtotal="0">
      <items count="21">
        <item m="1" x="18"/>
        <item x="6"/>
        <item m="1" x="17"/>
        <item x="4"/>
        <item x="5"/>
        <item m="1" x="12"/>
        <item x="7"/>
        <item m="1" x="19"/>
        <item x="0"/>
        <item x="2"/>
        <item m="1" x="20"/>
        <item x="1"/>
        <item x="9"/>
        <item m="1" x="16"/>
        <item m="1" x="15"/>
        <item m="1" x="14"/>
        <item m="1" x="11"/>
        <item m="1" x="13"/>
        <item x="8"/>
        <item m="1" x="10"/>
        <item x="3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2" showAll="0"/>
    <pivotField dataField="1" numFmtId="44" showAll="0"/>
    <pivotField dataField="1" numFmtId="44" showAll="0"/>
    <pivotField axis="axisRow" outline="0" showAll="0" sortType="descending" defaultSubtotal="0">
      <items count="112">
        <item x="20"/>
        <item x="21"/>
        <item x="22"/>
        <item x="23"/>
        <item x="46"/>
        <item x="62"/>
        <item x="33"/>
        <item x="43"/>
        <item x="7"/>
        <item x="25"/>
        <item x="47"/>
        <item x="32"/>
        <item m="1" x="109"/>
        <item x="2"/>
        <item x="44"/>
        <item x="26"/>
        <item x="27"/>
        <item m="1" x="107"/>
        <item x="14"/>
        <item x="3"/>
        <item x="4"/>
        <item x="71"/>
        <item x="45"/>
        <item x="34"/>
        <item m="1" x="110"/>
        <item x="59"/>
        <item x="35"/>
        <item x="36"/>
        <item x="37"/>
        <item m="1" x="77"/>
        <item x="12"/>
        <item x="5"/>
        <item x="13"/>
        <item m="1" x="108"/>
        <item x="38"/>
        <item x="8"/>
        <item x="17"/>
        <item m="1" x="106"/>
        <item x="28"/>
        <item x="18"/>
        <item x="9"/>
        <item x="39"/>
        <item x="40"/>
        <item m="1" x="90"/>
        <item m="1" x="96"/>
        <item x="19"/>
        <item x="48"/>
        <item x="15"/>
        <item m="1" x="111"/>
        <item x="60"/>
        <item x="61"/>
        <item x="69"/>
        <item x="52"/>
        <item x="53"/>
        <item m="1" x="102"/>
        <item x="55"/>
        <item x="49"/>
        <item x="30"/>
        <item x="31"/>
        <item x="57"/>
        <item x="16"/>
        <item x="42"/>
        <item x="70"/>
        <item x="67"/>
        <item x="68"/>
        <item m="1" x="99"/>
        <item m="1" x="76"/>
        <item m="1" x="79"/>
        <item m="1" x="105"/>
        <item x="63"/>
        <item x="51"/>
        <item x="54"/>
        <item m="1" x="93"/>
        <item m="1" x="104"/>
        <item x="24"/>
        <item m="1" x="80"/>
        <item m="1" x="100"/>
        <item x="10"/>
        <item m="1" x="103"/>
        <item m="1" x="89"/>
        <item x="58"/>
        <item m="1" x="101"/>
        <item m="1" x="94"/>
        <item x="6"/>
        <item m="1" x="95"/>
        <item x="41"/>
        <item m="1" x="91"/>
        <item m="1" x="97"/>
        <item m="1" x="98"/>
        <item x="65"/>
        <item m="1" x="75"/>
        <item m="1" x="92"/>
        <item x="0"/>
        <item m="1" x="72"/>
        <item m="1" x="73"/>
        <item m="1" x="74"/>
        <item x="1"/>
        <item m="1" x="78"/>
        <item x="56"/>
        <item x="66"/>
        <item m="1" x="81"/>
        <item m="1" x="82"/>
        <item m="1" x="83"/>
        <item m="1" x="84"/>
        <item m="1" x="85"/>
        <item m="1" x="86"/>
        <item m="1" x="87"/>
        <item m="1" x="88"/>
        <item x="11"/>
        <item x="29"/>
        <item x="50"/>
        <item x="64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insertBlankRow="1" sortType="descending" defaultSubtotal="0">
      <items count="36">
        <item x="17"/>
        <item x="11"/>
        <item x="0"/>
        <item x="2"/>
        <item m="1" x="31"/>
        <item x="3"/>
        <item x="4"/>
        <item m="1" x="35"/>
        <item x="5"/>
        <item x="6"/>
        <item x="16"/>
        <item m="1" x="30"/>
        <item x="12"/>
        <item x="7"/>
        <item x="13"/>
        <item x="14"/>
        <item x="8"/>
        <item x="9"/>
        <item x="10"/>
        <item x="21"/>
        <item x="20"/>
        <item m="1" x="34"/>
        <item x="19"/>
        <item x="18"/>
        <item x="15"/>
        <item m="1" x="33"/>
        <item m="1" x="32"/>
        <item m="1" x="28"/>
        <item m="1" x="29"/>
        <item m="1" x="27"/>
        <item m="1" x="22"/>
        <item m="1" x="23"/>
        <item x="1"/>
        <item m="1" x="24"/>
        <item m="1" x="25"/>
        <item m="1" x="26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"/>
    <field x="5"/>
    <field x="1"/>
  </rowFields>
  <rowItems count="96">
    <i>
      <x v="2"/>
      <x v="19"/>
      <x v="8"/>
    </i>
    <i r="1">
      <x v="83"/>
      <x v="8"/>
    </i>
    <i r="1">
      <x v="31"/>
      <x v="8"/>
    </i>
    <i r="1">
      <x v="21"/>
      <x v="8"/>
    </i>
    <i r="1">
      <x v="92"/>
      <x v="8"/>
    </i>
    <i r="1">
      <x v="13"/>
      <x v="8"/>
    </i>
    <i r="1">
      <x v="20"/>
      <x v="8"/>
    </i>
    <i t="blank">
      <x v="2"/>
    </i>
    <i>
      <x v="13"/>
      <x v="59"/>
      <x v="8"/>
    </i>
    <i r="1">
      <x v="11"/>
      <x v="8"/>
    </i>
    <i t="blank">
      <x v="13"/>
    </i>
    <i>
      <x v="17"/>
      <x v="14"/>
      <x v="8"/>
    </i>
    <i r="1">
      <x v="22"/>
      <x v="8"/>
    </i>
    <i r="1">
      <x v="7"/>
      <x v="8"/>
    </i>
    <i t="blank">
      <x v="17"/>
    </i>
    <i>
      <x v="6"/>
      <x v="30"/>
      <x v="8"/>
    </i>
    <i r="1">
      <x v="32"/>
      <x v="8"/>
    </i>
    <i r="1">
      <x v="108"/>
      <x v="8"/>
    </i>
    <i t="blank">
      <x v="6"/>
    </i>
    <i>
      <x v="3"/>
      <x v="8"/>
      <x v="8"/>
    </i>
    <i t="blank">
      <x v="3"/>
    </i>
    <i>
      <x v="9"/>
      <x v="38"/>
      <x v="9"/>
    </i>
    <i r="1">
      <x v="58"/>
      <x v="8"/>
    </i>
    <i r="1">
      <x v="57"/>
      <x v="8"/>
    </i>
    <i r="1">
      <x v="109"/>
      <x v="8"/>
    </i>
    <i t="blank">
      <x v="9"/>
    </i>
    <i>
      <x v="8"/>
      <x v="60"/>
      <x v="8"/>
    </i>
    <i r="1">
      <x v="36"/>
      <x v="8"/>
    </i>
    <i r="1">
      <x v="16"/>
      <x v="8"/>
    </i>
    <i r="1">
      <x v="74"/>
      <x v="8"/>
    </i>
    <i r="1">
      <x v="15"/>
      <x v="8"/>
    </i>
    <i r="1">
      <x v="39"/>
      <x v="8"/>
    </i>
    <i r="1">
      <x/>
      <x v="11"/>
    </i>
    <i r="1">
      <x v="47"/>
      <x v="8"/>
    </i>
    <i r="1">
      <x v="3"/>
      <x v="8"/>
    </i>
    <i r="1">
      <x v="45"/>
      <x v="8"/>
    </i>
    <i r="1">
      <x v="9"/>
      <x v="8"/>
    </i>
    <i r="1">
      <x v="1"/>
      <x v="8"/>
    </i>
    <i r="1">
      <x v="18"/>
      <x v="8"/>
    </i>
    <i r="1">
      <x v="2"/>
      <x v="8"/>
    </i>
    <i t="blank">
      <x v="8"/>
    </i>
    <i>
      <x v="16"/>
      <x v="42"/>
      <x v="8"/>
    </i>
    <i r="1">
      <x v="6"/>
      <x v="8"/>
    </i>
    <i r="1">
      <x v="23"/>
      <x v="8"/>
    </i>
    <i r="1">
      <x v="26"/>
      <x v="8"/>
    </i>
    <i r="1">
      <x v="28"/>
      <x v="8"/>
    </i>
    <i r="1">
      <x v="41"/>
      <x v="3"/>
    </i>
    <i r="2">
      <x v="20"/>
    </i>
    <i r="1">
      <x v="27"/>
      <x v="8"/>
    </i>
    <i r="1">
      <x v="85"/>
      <x v="8"/>
    </i>
    <i r="1">
      <x v="34"/>
      <x v="8"/>
    </i>
    <i r="1">
      <x v="61"/>
      <x v="4"/>
    </i>
    <i t="blank">
      <x v="16"/>
    </i>
    <i>
      <x v="24"/>
      <x v="70"/>
      <x v="11"/>
    </i>
    <i r="1">
      <x v="71"/>
      <x v="11"/>
    </i>
    <i t="blank">
      <x v="24"/>
    </i>
    <i>
      <x v="5"/>
      <x v="77"/>
      <x v="8"/>
    </i>
    <i r="1">
      <x v="35"/>
      <x v="8"/>
    </i>
    <i r="1">
      <x v="40"/>
      <x v="8"/>
    </i>
    <i t="blank">
      <x v="5"/>
    </i>
    <i>
      <x v="15"/>
      <x v="51"/>
      <x v="8"/>
    </i>
    <i r="1">
      <x v="55"/>
      <x v="9"/>
    </i>
    <i r="1">
      <x v="50"/>
      <x v="8"/>
    </i>
    <i r="1">
      <x v="49"/>
      <x v="8"/>
    </i>
    <i r="1">
      <x v="52"/>
      <x v="8"/>
    </i>
    <i r="1">
      <x v="98"/>
      <x v="9"/>
    </i>
    <i r="1">
      <x v="53"/>
      <x v="8"/>
    </i>
    <i r="1">
      <x v="110"/>
      <x v="8"/>
    </i>
    <i t="blank">
      <x v="15"/>
    </i>
    <i>
      <x v="14"/>
      <x v="56"/>
      <x v="8"/>
    </i>
    <i t="blank">
      <x v="14"/>
    </i>
    <i>
      <x v="12"/>
      <x v="46"/>
      <x v="6"/>
    </i>
    <i t="blank">
      <x v="12"/>
    </i>
    <i>
      <x v="20"/>
      <x v="63"/>
      <x v="9"/>
    </i>
    <i r="1">
      <x v="64"/>
      <x v="9"/>
    </i>
    <i r="1">
      <x v="99"/>
      <x v="9"/>
    </i>
    <i t="blank">
      <x v="20"/>
    </i>
    <i>
      <x/>
      <x v="5"/>
      <x v="9"/>
    </i>
    <i r="2">
      <x v="18"/>
    </i>
    <i t="blank">
      <x/>
    </i>
    <i>
      <x v="1"/>
      <x v="10"/>
      <x v="1"/>
    </i>
    <i t="blank">
      <x v="1"/>
    </i>
    <i>
      <x v="32"/>
      <x v="96"/>
      <x v="11"/>
    </i>
    <i t="blank">
      <x v="32"/>
    </i>
    <i>
      <x v="22"/>
      <x v="89"/>
      <x v="9"/>
    </i>
    <i t="blank">
      <x v="22"/>
    </i>
    <i>
      <x v="23"/>
      <x v="69"/>
      <x v="12"/>
    </i>
    <i r="1">
      <x v="111"/>
      <x v="12"/>
    </i>
    <i t="blank">
      <x v="23"/>
    </i>
    <i>
      <x v="10"/>
      <x v="25"/>
      <x v="4"/>
    </i>
    <i r="1">
      <x v="80"/>
      <x v="9"/>
    </i>
    <i t="blank">
      <x v="10"/>
    </i>
    <i>
      <x v="18"/>
      <x v="4"/>
      <x v="8"/>
    </i>
    <i t="blank">
      <x v="18"/>
    </i>
    <i>
      <x v="19"/>
      <x v="62"/>
      <x v="9"/>
    </i>
    <i t="blank">
      <x v="19"/>
    </i>
  </rowItems>
  <colFields count="1">
    <field x="-2"/>
  </colFields>
  <colItems count="3">
    <i>
      <x/>
    </i>
    <i i="1">
      <x v="1"/>
    </i>
    <i i="2">
      <x v="2"/>
    </i>
  </colItems>
  <dataFields count="3">
    <dataField name="Quantidade" fld="2" baseField="0" baseItem="0" numFmtId="2"/>
    <dataField name="Valor Unitário" fld="3" subtotal="average" baseField="1" baseItem="8" numFmtId="44"/>
    <dataField name="Valor Total" fld="4" baseField="0" baseItem="0" numFmtId="44"/>
  </dataFields>
  <formats count="190">
    <format dxfId="750">
      <pivotArea type="all" dataOnly="0" outline="0" fieldPosition="0"/>
    </format>
    <format dxfId="751">
      <pivotArea outline="0" collapsedLevelsAreSubtotals="1" fieldPosition="0"/>
    </format>
    <format dxfId="752">
      <pivotArea field="6" type="button" dataOnly="0" labelOnly="1" outline="0" axis="axisRow" fieldPosition="0"/>
    </format>
    <format dxfId="753">
      <pivotArea field="5" type="button" dataOnly="0" labelOnly="1" outline="0" axis="axisRow" fieldPosition="1"/>
    </format>
    <format dxfId="754">
      <pivotArea field="1" type="button" dataOnly="0" labelOnly="1" outline="0" axis="axisRow" fieldPosition="2"/>
    </format>
    <format dxfId="755">
      <pivotArea dataOnly="0" labelOnly="1" fieldPosition="0">
        <references count="1">
          <reference field="6" count="0"/>
        </references>
      </pivotArea>
    </format>
    <format dxfId="756">
      <pivotArea dataOnly="0" labelOnly="1" grandRow="1" outline="0" fieldPosition="0"/>
    </format>
    <format dxfId="757">
      <pivotArea dataOnly="0" labelOnly="1" fieldPosition="0">
        <references count="2">
          <reference field="5" count="1">
            <x v="5"/>
          </reference>
          <reference field="6" count="1" selected="0">
            <x v="0"/>
          </reference>
        </references>
      </pivotArea>
    </format>
    <format dxfId="758">
      <pivotArea dataOnly="0" labelOnly="1" fieldPosition="0">
        <references count="2">
          <reference field="5" count="1">
            <x v="10"/>
          </reference>
          <reference field="6" count="1" selected="0">
            <x v="1"/>
          </reference>
        </references>
      </pivotArea>
    </format>
    <format dxfId="759">
      <pivotArea dataOnly="0" labelOnly="1" fieldPosition="0">
        <references count="2">
          <reference field="5" count="5">
            <x v="13"/>
            <x v="19"/>
            <x v="20"/>
            <x v="21"/>
            <x v="31"/>
          </reference>
          <reference field="6" count="1" selected="0">
            <x v="2"/>
          </reference>
        </references>
      </pivotArea>
    </format>
    <format dxfId="760">
      <pivotArea dataOnly="0" labelOnly="1" fieldPosition="0">
        <references count="2">
          <reference field="5" count="1">
            <x v="8"/>
          </reference>
          <reference field="6" count="1" selected="0">
            <x v="3"/>
          </reference>
        </references>
      </pivotArea>
    </format>
    <format dxfId="761">
      <pivotArea dataOnly="0" labelOnly="1" fieldPosition="0">
        <references count="2">
          <reference field="5" count="1">
            <x v="12"/>
          </reference>
          <reference field="6" count="1" selected="0">
            <x v="4"/>
          </reference>
        </references>
      </pivotArea>
    </format>
    <format dxfId="762">
      <pivotArea dataOnly="0" labelOnly="1" fieldPosition="0">
        <references count="2">
          <reference field="5" count="2">
            <x v="35"/>
            <x v="40"/>
          </reference>
          <reference field="6" count="1" selected="0">
            <x v="5"/>
          </reference>
        </references>
      </pivotArea>
    </format>
    <format dxfId="763">
      <pivotArea dataOnly="0" labelOnly="1" fieldPosition="0">
        <references count="2">
          <reference field="5" count="2">
            <x v="30"/>
            <x v="32"/>
          </reference>
          <reference field="6" count="1" selected="0">
            <x v="6"/>
          </reference>
        </references>
      </pivotArea>
    </format>
    <format dxfId="764">
      <pivotArea dataOnly="0" labelOnly="1" fieldPosition="0">
        <references count="2">
          <reference field="5" count="1">
            <x v="33"/>
          </reference>
          <reference field="6" count="1" selected="0">
            <x v="7"/>
          </reference>
        </references>
      </pivotArea>
    </format>
    <format dxfId="765">
      <pivotArea dataOnly="0" labelOnly="1" fieldPosition="0">
        <references count="2">
          <reference field="5" count="14">
            <x v="0"/>
            <x v="1"/>
            <x v="2"/>
            <x v="3"/>
            <x v="9"/>
            <x v="15"/>
            <x v="16"/>
            <x v="18"/>
            <x v="36"/>
            <x v="39"/>
            <x v="43"/>
            <x v="45"/>
            <x v="47"/>
            <x v="60"/>
          </reference>
          <reference field="6" count="1" selected="0">
            <x v="8"/>
          </reference>
        </references>
      </pivotArea>
    </format>
    <format dxfId="766">
      <pivotArea dataOnly="0" labelOnly="1" fieldPosition="0">
        <references count="2">
          <reference field="5" count="4">
            <x v="37"/>
            <x v="38"/>
            <x v="57"/>
            <x v="58"/>
          </reference>
          <reference field="6" count="1" selected="0">
            <x v="9"/>
          </reference>
        </references>
      </pivotArea>
    </format>
    <format dxfId="767">
      <pivotArea dataOnly="0" labelOnly="1" fieldPosition="0">
        <references count="2">
          <reference field="5" count="2">
            <x v="24"/>
            <x v="25"/>
          </reference>
          <reference field="6" count="1" selected="0">
            <x v="10"/>
          </reference>
        </references>
      </pivotArea>
    </format>
    <format dxfId="768">
      <pivotArea dataOnly="0" labelOnly="1" fieldPosition="0">
        <references count="2">
          <reference field="5" count="1">
            <x v="44"/>
          </reference>
          <reference field="6" count="1" selected="0">
            <x v="11"/>
          </reference>
        </references>
      </pivotArea>
    </format>
    <format dxfId="769">
      <pivotArea dataOnly="0" labelOnly="1" fieldPosition="0">
        <references count="2">
          <reference field="5" count="1">
            <x v="46"/>
          </reference>
          <reference field="6" count="1" selected="0">
            <x v="12"/>
          </reference>
        </references>
      </pivotArea>
    </format>
    <format dxfId="770">
      <pivotArea dataOnly="0" labelOnly="1" fieldPosition="0">
        <references count="2">
          <reference field="5" count="2">
            <x v="11"/>
            <x v="59"/>
          </reference>
          <reference field="6" count="1" selected="0">
            <x v="13"/>
          </reference>
        </references>
      </pivotArea>
    </format>
    <format dxfId="771">
      <pivotArea dataOnly="0" labelOnly="1" fieldPosition="0">
        <references count="2">
          <reference field="5" count="1">
            <x v="56"/>
          </reference>
          <reference field="6" count="1" selected="0">
            <x v="14"/>
          </reference>
        </references>
      </pivotArea>
    </format>
    <format dxfId="772">
      <pivotArea dataOnly="0" labelOnly="1" fieldPosition="0">
        <references count="2">
          <reference field="5" count="8">
            <x v="48"/>
            <x v="49"/>
            <x v="50"/>
            <x v="51"/>
            <x v="52"/>
            <x v="53"/>
            <x v="54"/>
            <x v="55"/>
          </reference>
          <reference field="6" count="1" selected="0">
            <x v="15"/>
          </reference>
        </references>
      </pivotArea>
    </format>
    <format dxfId="773">
      <pivotArea dataOnly="0" labelOnly="1" fieldPosition="0">
        <references count="2">
          <reference field="5" count="10">
            <x v="6"/>
            <x v="23"/>
            <x v="26"/>
            <x v="27"/>
            <x v="28"/>
            <x v="29"/>
            <x v="34"/>
            <x v="41"/>
            <x v="42"/>
            <x v="61"/>
          </reference>
          <reference field="6" count="1" selected="0">
            <x v="16"/>
          </reference>
        </references>
      </pivotArea>
    </format>
    <format dxfId="774">
      <pivotArea dataOnly="0" labelOnly="1" fieldPosition="0">
        <references count="2">
          <reference field="5" count="3">
            <x v="7"/>
            <x v="14"/>
            <x v="22"/>
          </reference>
          <reference field="6" count="1" selected="0">
            <x v="17"/>
          </reference>
        </references>
      </pivotArea>
    </format>
    <format dxfId="775">
      <pivotArea dataOnly="0" labelOnly="1" fieldPosition="0">
        <references count="2">
          <reference field="5" count="1">
            <x v="4"/>
          </reference>
          <reference field="6" count="1" selected="0">
            <x v="18"/>
          </reference>
        </references>
      </pivotArea>
    </format>
    <format dxfId="776">
      <pivotArea dataOnly="0" labelOnly="1" fieldPosition="0">
        <references count="2">
          <reference field="5" count="1">
            <x v="62"/>
          </reference>
          <reference field="6" count="1" selected="0">
            <x v="19"/>
          </reference>
        </references>
      </pivotArea>
    </format>
    <format dxfId="777">
      <pivotArea dataOnly="0" labelOnly="1" fieldPosition="0">
        <references count="2">
          <reference field="5" count="2">
            <x v="63"/>
            <x v="64"/>
          </reference>
          <reference field="6" count="1" selected="0">
            <x v="20"/>
          </reference>
        </references>
      </pivotArea>
    </format>
    <format dxfId="778">
      <pivotArea dataOnly="0" labelOnly="1" fieldPosition="0">
        <references count="2">
          <reference field="5" count="1">
            <x v="17"/>
          </reference>
          <reference field="6" count="1" selected="0">
            <x v="21"/>
          </reference>
        </references>
      </pivotArea>
    </format>
    <format dxfId="779">
      <pivotArea dataOnly="0" labelOnly="1" fieldPosition="0">
        <references count="3">
          <reference field="1" count="1">
            <x v="9"/>
          </reference>
          <reference field="5" count="1" selected="0">
            <x v="5"/>
          </reference>
          <reference field="6" count="1" selected="0">
            <x v="0"/>
          </reference>
        </references>
      </pivotArea>
    </format>
    <format dxfId="780">
      <pivotArea dataOnly="0" labelOnly="1" fieldPosition="0">
        <references count="3">
          <reference field="1" count="1">
            <x v="1"/>
          </reference>
          <reference field="5" count="1" selected="0">
            <x v="10"/>
          </reference>
          <reference field="6" count="1" selected="0">
            <x v="1"/>
          </reference>
        </references>
      </pivotArea>
    </format>
    <format dxfId="781">
      <pivotArea dataOnly="0" labelOnly="1" fieldPosition="0">
        <references count="3">
          <reference field="1" count="1">
            <x v="8"/>
          </reference>
          <reference field="5" count="1" selected="0">
            <x v="13"/>
          </reference>
          <reference field="6" count="1" selected="0">
            <x v="2"/>
          </reference>
        </references>
      </pivotArea>
    </format>
    <format dxfId="782">
      <pivotArea dataOnly="0" labelOnly="1" fieldPosition="0">
        <references count="3">
          <reference field="1" count="1">
            <x v="8"/>
          </reference>
          <reference field="5" count="1" selected="0">
            <x v="19"/>
          </reference>
          <reference field="6" count="1" selected="0">
            <x v="2"/>
          </reference>
        </references>
      </pivotArea>
    </format>
    <format dxfId="783">
      <pivotArea dataOnly="0" labelOnly="1" fieldPosition="0">
        <references count="3">
          <reference field="1" count="1">
            <x v="8"/>
          </reference>
          <reference field="5" count="1" selected="0">
            <x v="20"/>
          </reference>
          <reference field="6" count="1" selected="0">
            <x v="2"/>
          </reference>
        </references>
      </pivotArea>
    </format>
    <format dxfId="784">
      <pivotArea dataOnly="0" labelOnly="1" fieldPosition="0">
        <references count="3">
          <reference field="1" count="1">
            <x v="8"/>
          </reference>
          <reference field="5" count="1" selected="0">
            <x v="21"/>
          </reference>
          <reference field="6" count="1" selected="0">
            <x v="2"/>
          </reference>
        </references>
      </pivotArea>
    </format>
    <format dxfId="785">
      <pivotArea dataOnly="0" labelOnly="1" fieldPosition="0">
        <references count="3">
          <reference field="1" count="1">
            <x v="8"/>
          </reference>
          <reference field="5" count="1" selected="0">
            <x v="31"/>
          </reference>
          <reference field="6" count="1" selected="0">
            <x v="2"/>
          </reference>
        </references>
      </pivotArea>
    </format>
    <format dxfId="786">
      <pivotArea dataOnly="0" labelOnly="1" fieldPosition="0">
        <references count="3">
          <reference field="1" count="1">
            <x v="8"/>
          </reference>
          <reference field="5" count="1" selected="0">
            <x v="8"/>
          </reference>
          <reference field="6" count="1" selected="0">
            <x v="3"/>
          </reference>
        </references>
      </pivotArea>
    </format>
    <format dxfId="787">
      <pivotArea dataOnly="0" labelOnly="1" fieldPosition="0">
        <references count="3">
          <reference field="1" count="1">
            <x v="10"/>
          </reference>
          <reference field="5" count="1" selected="0">
            <x v="12"/>
          </reference>
          <reference field="6" count="1" selected="0">
            <x v="4"/>
          </reference>
        </references>
      </pivotArea>
    </format>
    <format dxfId="788">
      <pivotArea dataOnly="0" labelOnly="1" fieldPosition="0">
        <references count="3">
          <reference field="1" count="1">
            <x v="8"/>
          </reference>
          <reference field="5" count="1" selected="0">
            <x v="35"/>
          </reference>
          <reference field="6" count="1" selected="0">
            <x v="5"/>
          </reference>
        </references>
      </pivotArea>
    </format>
    <format dxfId="789">
      <pivotArea dataOnly="0" labelOnly="1" fieldPosition="0">
        <references count="3">
          <reference field="1" count="1">
            <x v="8"/>
          </reference>
          <reference field="5" count="1" selected="0">
            <x v="40"/>
          </reference>
          <reference field="6" count="1" selected="0">
            <x v="5"/>
          </reference>
        </references>
      </pivotArea>
    </format>
    <format dxfId="790">
      <pivotArea dataOnly="0" labelOnly="1" fieldPosition="0">
        <references count="3">
          <reference field="1" count="1">
            <x v="8"/>
          </reference>
          <reference field="5" count="1" selected="0">
            <x v="30"/>
          </reference>
          <reference field="6" count="1" selected="0">
            <x v="6"/>
          </reference>
        </references>
      </pivotArea>
    </format>
    <format dxfId="791">
      <pivotArea dataOnly="0" labelOnly="1" fieldPosition="0">
        <references count="3">
          <reference field="1" count="1">
            <x v="8"/>
          </reference>
          <reference field="5" count="1" selected="0">
            <x v="32"/>
          </reference>
          <reference field="6" count="1" selected="0">
            <x v="6"/>
          </reference>
        </references>
      </pivotArea>
    </format>
    <format dxfId="792">
      <pivotArea dataOnly="0" labelOnly="1" fieldPosition="0">
        <references count="3">
          <reference field="1" count="1">
            <x v="7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793">
      <pivotArea dataOnly="0" labelOnly="1" fieldPosition="0">
        <references count="3">
          <reference field="1" count="1">
            <x v="11"/>
          </reference>
          <reference field="5" count="1" selected="0">
            <x v="0"/>
          </reference>
          <reference field="6" count="1" selected="0">
            <x v="8"/>
          </reference>
        </references>
      </pivotArea>
    </format>
    <format dxfId="794">
      <pivotArea dataOnly="0" labelOnly="1" fieldPosition="0">
        <references count="3">
          <reference field="1" count="1">
            <x v="8"/>
          </reference>
          <reference field="5" count="1" selected="0">
            <x v="1"/>
          </reference>
          <reference field="6" count="1" selected="0">
            <x v="8"/>
          </reference>
        </references>
      </pivotArea>
    </format>
    <format dxfId="795">
      <pivotArea dataOnly="0" labelOnly="1" fieldPosition="0">
        <references count="3">
          <reference field="1" count="1">
            <x v="8"/>
          </reference>
          <reference field="5" count="1" selected="0">
            <x v="2"/>
          </reference>
          <reference field="6" count="1" selected="0">
            <x v="8"/>
          </reference>
        </references>
      </pivotArea>
    </format>
    <format dxfId="796">
      <pivotArea dataOnly="0" labelOnly="1" fieldPosition="0">
        <references count="3">
          <reference field="1" count="1">
            <x v="8"/>
          </reference>
          <reference field="5" count="1" selected="0">
            <x v="3"/>
          </reference>
          <reference field="6" count="1" selected="0">
            <x v="8"/>
          </reference>
        </references>
      </pivotArea>
    </format>
    <format dxfId="797">
      <pivotArea dataOnly="0" labelOnly="1" fieldPosition="0">
        <references count="3">
          <reference field="1" count="1">
            <x v="8"/>
          </reference>
          <reference field="5" count="1" selected="0">
            <x v="9"/>
          </reference>
          <reference field="6" count="1" selected="0">
            <x v="8"/>
          </reference>
        </references>
      </pivotArea>
    </format>
    <format dxfId="798">
      <pivotArea dataOnly="0" labelOnly="1" fieldPosition="0">
        <references count="3">
          <reference field="1" count="1">
            <x v="8"/>
          </reference>
          <reference field="5" count="1" selected="0">
            <x v="15"/>
          </reference>
          <reference field="6" count="1" selected="0">
            <x v="8"/>
          </reference>
        </references>
      </pivotArea>
    </format>
    <format dxfId="799">
      <pivotArea dataOnly="0" labelOnly="1" fieldPosition="0">
        <references count="3">
          <reference field="1" count="1">
            <x v="8"/>
          </reference>
          <reference field="5" count="1" selected="0">
            <x v="16"/>
          </reference>
          <reference field="6" count="1" selected="0">
            <x v="8"/>
          </reference>
        </references>
      </pivotArea>
    </format>
    <format dxfId="800">
      <pivotArea dataOnly="0" labelOnly="1" fieldPosition="0">
        <references count="3">
          <reference field="1" count="1">
            <x v="8"/>
          </reference>
          <reference field="5" count="1" selected="0">
            <x v="18"/>
          </reference>
          <reference field="6" count="1" selected="0">
            <x v="8"/>
          </reference>
        </references>
      </pivotArea>
    </format>
    <format dxfId="801">
      <pivotArea dataOnly="0" labelOnly="1" fieldPosition="0">
        <references count="3">
          <reference field="1" count="1">
            <x v="8"/>
          </reference>
          <reference field="5" count="1" selected="0">
            <x v="36"/>
          </reference>
          <reference field="6" count="1" selected="0">
            <x v="8"/>
          </reference>
        </references>
      </pivotArea>
    </format>
    <format dxfId="802">
      <pivotArea dataOnly="0" labelOnly="1" fieldPosition="0">
        <references count="3">
          <reference field="1" count="1">
            <x v="8"/>
          </reference>
          <reference field="5" count="1" selected="0">
            <x v="39"/>
          </reference>
          <reference field="6" count="1" selected="0">
            <x v="8"/>
          </reference>
        </references>
      </pivotArea>
    </format>
    <format dxfId="803">
      <pivotArea dataOnly="0" labelOnly="1" fieldPosition="0">
        <references count="3">
          <reference field="1" count="1">
            <x v="8"/>
          </reference>
          <reference field="5" count="1" selected="0">
            <x v="43"/>
          </reference>
          <reference field="6" count="1" selected="0">
            <x v="8"/>
          </reference>
        </references>
      </pivotArea>
    </format>
    <format dxfId="804">
      <pivotArea dataOnly="0" labelOnly="1" fieldPosition="0">
        <references count="3">
          <reference field="1" count="1">
            <x v="8"/>
          </reference>
          <reference field="5" count="1" selected="0">
            <x v="45"/>
          </reference>
          <reference field="6" count="1" selected="0">
            <x v="8"/>
          </reference>
        </references>
      </pivotArea>
    </format>
    <format dxfId="805">
      <pivotArea dataOnly="0" labelOnly="1" fieldPosition="0">
        <references count="3">
          <reference field="1" count="1">
            <x v="8"/>
          </reference>
          <reference field="5" count="1" selected="0">
            <x v="47"/>
          </reference>
          <reference field="6" count="1" selected="0">
            <x v="8"/>
          </reference>
        </references>
      </pivotArea>
    </format>
    <format dxfId="806">
      <pivotArea dataOnly="0" labelOnly="1" fieldPosition="0">
        <references count="3">
          <reference field="1" count="1">
            <x v="8"/>
          </reference>
          <reference field="5" count="1" selected="0">
            <x v="60"/>
          </reference>
          <reference field="6" count="1" selected="0">
            <x v="8"/>
          </reference>
        </references>
      </pivotArea>
    </format>
    <format dxfId="807">
      <pivotArea dataOnly="0" labelOnly="1" fieldPosition="0">
        <references count="3">
          <reference field="1" count="1">
            <x v="2"/>
          </reference>
          <reference field="5" count="1" selected="0">
            <x v="37"/>
          </reference>
          <reference field="6" count="1" selected="0">
            <x v="9"/>
          </reference>
        </references>
      </pivotArea>
    </format>
    <format dxfId="808">
      <pivotArea dataOnly="0" labelOnly="1" fieldPosition="0">
        <references count="3">
          <reference field="1" count="1">
            <x v="9"/>
          </reference>
          <reference field="5" count="1" selected="0">
            <x v="38"/>
          </reference>
          <reference field="6" count="1" selected="0">
            <x v="9"/>
          </reference>
        </references>
      </pivotArea>
    </format>
    <format dxfId="809">
      <pivotArea dataOnly="0" labelOnly="1" fieldPosition="0">
        <references count="3">
          <reference field="1" count="1">
            <x v="8"/>
          </reference>
          <reference field="5" count="1" selected="0">
            <x v="57"/>
          </reference>
          <reference field="6" count="1" selected="0">
            <x v="9"/>
          </reference>
        </references>
      </pivotArea>
    </format>
    <format dxfId="810">
      <pivotArea dataOnly="0" labelOnly="1" fieldPosition="0">
        <references count="3">
          <reference field="1" count="1">
            <x v="8"/>
          </reference>
          <reference field="5" count="1" selected="0">
            <x v="58"/>
          </reference>
          <reference field="6" count="1" selected="0">
            <x v="9"/>
          </reference>
        </references>
      </pivotArea>
    </format>
    <format dxfId="811">
      <pivotArea dataOnly="0" labelOnly="1" fieldPosition="0">
        <references count="3">
          <reference field="1" count="1">
            <x v="9"/>
          </reference>
          <reference field="5" count="1" selected="0">
            <x v="24"/>
          </reference>
          <reference field="6" count="1" selected="0">
            <x v="10"/>
          </reference>
        </references>
      </pivotArea>
    </format>
    <format dxfId="812">
      <pivotArea dataOnly="0" labelOnly="1" fieldPosition="0">
        <references count="3">
          <reference field="1" count="1">
            <x v="4"/>
          </reference>
          <reference field="5" count="1" selected="0">
            <x v="25"/>
          </reference>
          <reference field="6" count="1" selected="0">
            <x v="10"/>
          </reference>
        </references>
      </pivotArea>
    </format>
    <format dxfId="813">
      <pivotArea dataOnly="0" labelOnly="1" fieldPosition="0">
        <references count="3">
          <reference field="1" count="1">
            <x v="5"/>
          </reference>
          <reference field="5" count="1" selected="0">
            <x v="44"/>
          </reference>
          <reference field="6" count="1" selected="0">
            <x v="11"/>
          </reference>
        </references>
      </pivotArea>
    </format>
    <format dxfId="814">
      <pivotArea dataOnly="0" labelOnly="1" fieldPosition="0">
        <references count="3">
          <reference field="1" count="1">
            <x v="6"/>
          </reference>
          <reference field="5" count="1" selected="0">
            <x v="46"/>
          </reference>
          <reference field="6" count="1" selected="0">
            <x v="12"/>
          </reference>
        </references>
      </pivotArea>
    </format>
    <format dxfId="815">
      <pivotArea dataOnly="0" labelOnly="1" fieldPosition="0">
        <references count="3">
          <reference field="1" count="1">
            <x v="8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816">
      <pivotArea dataOnly="0" labelOnly="1" fieldPosition="0">
        <references count="3">
          <reference field="1" count="1">
            <x v="8"/>
          </reference>
          <reference field="5" count="1" selected="0">
            <x v="59"/>
          </reference>
          <reference field="6" count="1" selected="0">
            <x v="13"/>
          </reference>
        </references>
      </pivotArea>
    </format>
    <format dxfId="817">
      <pivotArea dataOnly="0" labelOnly="1" fieldPosition="0">
        <references count="3">
          <reference field="1" count="1">
            <x v="8"/>
          </reference>
          <reference field="5" count="1" selected="0">
            <x v="56"/>
          </reference>
          <reference field="6" count="1" selected="0">
            <x v="14"/>
          </reference>
        </references>
      </pivotArea>
    </format>
    <format dxfId="818">
      <pivotArea dataOnly="0" labelOnly="1" fieldPosition="0">
        <references count="3">
          <reference field="1" count="1">
            <x v="11"/>
          </reference>
          <reference field="5" count="1" selected="0">
            <x v="48"/>
          </reference>
          <reference field="6" count="1" selected="0">
            <x v="15"/>
          </reference>
        </references>
      </pivotArea>
    </format>
    <format dxfId="819">
      <pivotArea dataOnly="0" labelOnly="1" fieldPosition="0">
        <references count="3">
          <reference field="1" count="1">
            <x v="8"/>
          </reference>
          <reference field="5" count="1" selected="0">
            <x v="49"/>
          </reference>
          <reference field="6" count="1" selected="0">
            <x v="15"/>
          </reference>
        </references>
      </pivotArea>
    </format>
    <format dxfId="820">
      <pivotArea dataOnly="0" labelOnly="1" fieldPosition="0">
        <references count="3">
          <reference field="1" count="1">
            <x v="8"/>
          </reference>
          <reference field="5" count="1" selected="0">
            <x v="50"/>
          </reference>
          <reference field="6" count="1" selected="0">
            <x v="15"/>
          </reference>
        </references>
      </pivotArea>
    </format>
    <format dxfId="821">
      <pivotArea dataOnly="0" labelOnly="1" fieldPosition="0">
        <references count="3">
          <reference field="1" count="1">
            <x v="8"/>
          </reference>
          <reference field="5" count="1" selected="0">
            <x v="51"/>
          </reference>
          <reference field="6" count="1" selected="0">
            <x v="15"/>
          </reference>
        </references>
      </pivotArea>
    </format>
    <format dxfId="822">
      <pivotArea dataOnly="0" labelOnly="1" fieldPosition="0">
        <references count="3">
          <reference field="1" count="1">
            <x v="8"/>
          </reference>
          <reference field="5" count="1" selected="0">
            <x v="52"/>
          </reference>
          <reference field="6" count="1" selected="0">
            <x v="15"/>
          </reference>
        </references>
      </pivotArea>
    </format>
    <format dxfId="823">
      <pivotArea dataOnly="0" labelOnly="1" fieldPosition="0">
        <references count="3">
          <reference field="1" count="1">
            <x v="8"/>
          </reference>
          <reference field="5" count="1" selected="0">
            <x v="53"/>
          </reference>
          <reference field="6" count="1" selected="0">
            <x v="15"/>
          </reference>
        </references>
      </pivotArea>
    </format>
    <format dxfId="824">
      <pivotArea dataOnly="0" labelOnly="1" fieldPosition="0">
        <references count="3">
          <reference field="1" count="1">
            <x v="8"/>
          </reference>
          <reference field="5" count="1" selected="0">
            <x v="54"/>
          </reference>
          <reference field="6" count="1" selected="0">
            <x v="15"/>
          </reference>
        </references>
      </pivotArea>
    </format>
    <format dxfId="825">
      <pivotArea dataOnly="0" labelOnly="1" fieldPosition="0">
        <references count="3">
          <reference field="1" count="1">
            <x v="9"/>
          </reference>
          <reference field="5" count="1" selected="0">
            <x v="55"/>
          </reference>
          <reference field="6" count="1" selected="0">
            <x v="15"/>
          </reference>
        </references>
      </pivotArea>
    </format>
    <format dxfId="826">
      <pivotArea dataOnly="0" labelOnly="1" fieldPosition="0">
        <references count="3">
          <reference field="1" count="1">
            <x v="8"/>
          </reference>
          <reference field="5" count="1" selected="0">
            <x v="6"/>
          </reference>
          <reference field="6" count="1" selected="0">
            <x v="16"/>
          </reference>
        </references>
      </pivotArea>
    </format>
    <format dxfId="827">
      <pivotArea dataOnly="0" labelOnly="1" fieldPosition="0">
        <references count="3">
          <reference field="1" count="1">
            <x v="8"/>
          </reference>
          <reference field="5" count="1" selected="0">
            <x v="23"/>
          </reference>
          <reference field="6" count="1" selected="0">
            <x v="16"/>
          </reference>
        </references>
      </pivotArea>
    </format>
    <format dxfId="828">
      <pivotArea dataOnly="0" labelOnly="1" fieldPosition="0">
        <references count="3">
          <reference field="1" count="1">
            <x v="8"/>
          </reference>
          <reference field="5" count="1" selected="0">
            <x v="26"/>
          </reference>
          <reference field="6" count="1" selected="0">
            <x v="16"/>
          </reference>
        </references>
      </pivotArea>
    </format>
    <format dxfId="829">
      <pivotArea dataOnly="0" labelOnly="1" fieldPosition="0">
        <references count="3">
          <reference field="1" count="1">
            <x v="8"/>
          </reference>
          <reference field="5" count="1" selected="0">
            <x v="27"/>
          </reference>
          <reference field="6" count="1" selected="0">
            <x v="16"/>
          </reference>
        </references>
      </pivotArea>
    </format>
    <format dxfId="830">
      <pivotArea dataOnly="0" labelOnly="1" fieldPosition="0">
        <references count="3">
          <reference field="1" count="1">
            <x v="8"/>
          </reference>
          <reference field="5" count="1" selected="0">
            <x v="28"/>
          </reference>
          <reference field="6" count="1" selected="0">
            <x v="16"/>
          </reference>
        </references>
      </pivotArea>
    </format>
    <format dxfId="831">
      <pivotArea dataOnly="0" labelOnly="1" fieldPosition="0">
        <references count="3">
          <reference field="1" count="1">
            <x v="8"/>
          </reference>
          <reference field="5" count="1" selected="0">
            <x v="29"/>
          </reference>
          <reference field="6" count="1" selected="0">
            <x v="16"/>
          </reference>
        </references>
      </pivotArea>
    </format>
    <format dxfId="832">
      <pivotArea dataOnly="0" labelOnly="1" fieldPosition="0">
        <references count="3">
          <reference field="1" count="1">
            <x v="8"/>
          </reference>
          <reference field="5" count="1" selected="0">
            <x v="34"/>
          </reference>
          <reference field="6" count="1" selected="0">
            <x v="16"/>
          </reference>
        </references>
      </pivotArea>
    </format>
    <format dxfId="833">
      <pivotArea dataOnly="0" labelOnly="1" fieldPosition="0">
        <references count="3">
          <reference field="1" count="2">
            <x v="3"/>
            <x v="8"/>
          </reference>
          <reference field="5" count="1" selected="0">
            <x v="41"/>
          </reference>
          <reference field="6" count="1" selected="0">
            <x v="16"/>
          </reference>
        </references>
      </pivotArea>
    </format>
    <format dxfId="834">
      <pivotArea dataOnly="0" labelOnly="1" fieldPosition="0">
        <references count="3">
          <reference field="1" count="1">
            <x v="8"/>
          </reference>
          <reference field="5" count="1" selected="0">
            <x v="42"/>
          </reference>
          <reference field="6" count="1" selected="0">
            <x v="16"/>
          </reference>
        </references>
      </pivotArea>
    </format>
    <format dxfId="835">
      <pivotArea dataOnly="0" labelOnly="1" fieldPosition="0">
        <references count="3">
          <reference field="1" count="1">
            <x v="4"/>
          </reference>
          <reference field="5" count="1" selected="0">
            <x v="61"/>
          </reference>
          <reference field="6" count="1" selected="0">
            <x v="16"/>
          </reference>
        </references>
      </pivotArea>
    </format>
    <format dxfId="836">
      <pivotArea dataOnly="0" labelOnly="1" fieldPosition="0">
        <references count="3">
          <reference field="1" count="1">
            <x v="8"/>
          </reference>
          <reference field="5" count="1" selected="0">
            <x v="7"/>
          </reference>
          <reference field="6" count="1" selected="0">
            <x v="17"/>
          </reference>
        </references>
      </pivotArea>
    </format>
    <format dxfId="837">
      <pivotArea dataOnly="0" labelOnly="1" fieldPosition="0">
        <references count="3">
          <reference field="1" count="1">
            <x v="8"/>
          </reference>
          <reference field="5" count="1" selected="0">
            <x v="14"/>
          </reference>
          <reference field="6" count="1" selected="0">
            <x v="17"/>
          </reference>
        </references>
      </pivotArea>
    </format>
    <format dxfId="838">
      <pivotArea dataOnly="0" labelOnly="1" fieldPosition="0">
        <references count="3">
          <reference field="1" count="1">
            <x v="8"/>
          </reference>
          <reference field="5" count="1" selected="0">
            <x v="22"/>
          </reference>
          <reference field="6" count="1" selected="0">
            <x v="17"/>
          </reference>
        </references>
      </pivotArea>
    </format>
    <format dxfId="839">
      <pivotArea dataOnly="0" labelOnly="1" fieldPosition="0">
        <references count="3">
          <reference field="1" count="2">
            <x v="0"/>
            <x v="8"/>
          </reference>
          <reference field="5" count="1" selected="0">
            <x v="4"/>
          </reference>
          <reference field="6" count="1" selected="0">
            <x v="18"/>
          </reference>
        </references>
      </pivotArea>
    </format>
    <format dxfId="840">
      <pivotArea dataOnly="0" labelOnly="1" fieldPosition="0">
        <references count="3">
          <reference field="1" count="1">
            <x v="9"/>
          </reference>
          <reference field="5" count="1" selected="0">
            <x v="62"/>
          </reference>
          <reference field="6" count="1" selected="0">
            <x v="19"/>
          </reference>
        </references>
      </pivotArea>
    </format>
    <format dxfId="841">
      <pivotArea dataOnly="0" labelOnly="1" fieldPosition="0">
        <references count="3">
          <reference field="1" count="1">
            <x v="9"/>
          </reference>
          <reference field="5" count="1" selected="0">
            <x v="63"/>
          </reference>
          <reference field="6" count="1" selected="0">
            <x v="20"/>
          </reference>
        </references>
      </pivotArea>
    </format>
    <format dxfId="842">
      <pivotArea dataOnly="0" labelOnly="1" fieldPosition="0">
        <references count="3">
          <reference field="1" count="1">
            <x v="9"/>
          </reference>
          <reference field="5" count="1" selected="0">
            <x v="64"/>
          </reference>
          <reference field="6" count="1" selected="0">
            <x v="20"/>
          </reference>
        </references>
      </pivotArea>
    </format>
    <format dxfId="843">
      <pivotArea dataOnly="0" labelOnly="1" fieldPosition="0">
        <references count="3">
          <reference field="1" count="1">
            <x v="8"/>
          </reference>
          <reference field="5" count="1" selected="0">
            <x v="17"/>
          </reference>
          <reference field="6" count="1" selected="0">
            <x v="21"/>
          </reference>
        </references>
      </pivotArea>
    </format>
    <format dxfId="8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45">
      <pivotArea type="all" dataOnly="0" outline="0" fieldPosition="0"/>
    </format>
    <format dxfId="846">
      <pivotArea outline="0" collapsedLevelsAreSubtotals="1" fieldPosition="0"/>
    </format>
    <format dxfId="847">
      <pivotArea field="6" type="button" dataOnly="0" labelOnly="1" outline="0" axis="axisRow" fieldPosition="0"/>
    </format>
    <format dxfId="848">
      <pivotArea field="5" type="button" dataOnly="0" labelOnly="1" outline="0" axis="axisRow" fieldPosition="1"/>
    </format>
    <format dxfId="849">
      <pivotArea field="1" type="button" dataOnly="0" labelOnly="1" outline="0" axis="axisRow" fieldPosition="2"/>
    </format>
    <format dxfId="850">
      <pivotArea dataOnly="0" labelOnly="1" fieldPosition="0">
        <references count="1">
          <reference field="6" count="0"/>
        </references>
      </pivotArea>
    </format>
    <format dxfId="851">
      <pivotArea dataOnly="0" labelOnly="1" grandRow="1" outline="0" fieldPosition="0"/>
    </format>
    <format dxfId="852">
      <pivotArea dataOnly="0" labelOnly="1" fieldPosition="0">
        <references count="2">
          <reference field="5" count="1">
            <x v="5"/>
          </reference>
          <reference field="6" count="1" selected="0">
            <x v="0"/>
          </reference>
        </references>
      </pivotArea>
    </format>
    <format dxfId="853">
      <pivotArea dataOnly="0" labelOnly="1" fieldPosition="0">
        <references count="2">
          <reference field="5" count="1">
            <x v="10"/>
          </reference>
          <reference field="6" count="1" selected="0">
            <x v="1"/>
          </reference>
        </references>
      </pivotArea>
    </format>
    <format dxfId="854">
      <pivotArea dataOnly="0" labelOnly="1" fieldPosition="0">
        <references count="2">
          <reference field="5" count="5">
            <x v="13"/>
            <x v="19"/>
            <x v="20"/>
            <x v="21"/>
            <x v="31"/>
          </reference>
          <reference field="6" count="1" selected="0">
            <x v="2"/>
          </reference>
        </references>
      </pivotArea>
    </format>
    <format dxfId="855">
      <pivotArea dataOnly="0" labelOnly="1" fieldPosition="0">
        <references count="2">
          <reference field="5" count="1">
            <x v="8"/>
          </reference>
          <reference field="6" count="1" selected="0">
            <x v="3"/>
          </reference>
        </references>
      </pivotArea>
    </format>
    <format dxfId="856">
      <pivotArea dataOnly="0" labelOnly="1" fieldPosition="0">
        <references count="2">
          <reference field="5" count="1">
            <x v="12"/>
          </reference>
          <reference field="6" count="1" selected="0">
            <x v="4"/>
          </reference>
        </references>
      </pivotArea>
    </format>
    <format dxfId="857">
      <pivotArea dataOnly="0" labelOnly="1" fieldPosition="0">
        <references count="2">
          <reference field="5" count="2">
            <x v="35"/>
            <x v="40"/>
          </reference>
          <reference field="6" count="1" selected="0">
            <x v="5"/>
          </reference>
        </references>
      </pivotArea>
    </format>
    <format dxfId="858">
      <pivotArea dataOnly="0" labelOnly="1" fieldPosition="0">
        <references count="2">
          <reference field="5" count="2">
            <x v="30"/>
            <x v="32"/>
          </reference>
          <reference field="6" count="1" selected="0">
            <x v="6"/>
          </reference>
        </references>
      </pivotArea>
    </format>
    <format dxfId="859">
      <pivotArea dataOnly="0" labelOnly="1" fieldPosition="0">
        <references count="2">
          <reference field="5" count="1">
            <x v="33"/>
          </reference>
          <reference field="6" count="1" selected="0">
            <x v="7"/>
          </reference>
        </references>
      </pivotArea>
    </format>
    <format dxfId="860">
      <pivotArea dataOnly="0" labelOnly="1" fieldPosition="0">
        <references count="2">
          <reference field="5" count="14">
            <x v="0"/>
            <x v="1"/>
            <x v="2"/>
            <x v="3"/>
            <x v="9"/>
            <x v="15"/>
            <x v="16"/>
            <x v="18"/>
            <x v="36"/>
            <x v="39"/>
            <x v="43"/>
            <x v="45"/>
            <x v="47"/>
            <x v="60"/>
          </reference>
          <reference field="6" count="1" selected="0">
            <x v="8"/>
          </reference>
        </references>
      </pivotArea>
    </format>
    <format dxfId="861">
      <pivotArea dataOnly="0" labelOnly="1" fieldPosition="0">
        <references count="2">
          <reference field="5" count="4">
            <x v="37"/>
            <x v="38"/>
            <x v="57"/>
            <x v="58"/>
          </reference>
          <reference field="6" count="1" selected="0">
            <x v="9"/>
          </reference>
        </references>
      </pivotArea>
    </format>
    <format dxfId="862">
      <pivotArea dataOnly="0" labelOnly="1" fieldPosition="0">
        <references count="2">
          <reference field="5" count="2">
            <x v="24"/>
            <x v="25"/>
          </reference>
          <reference field="6" count="1" selected="0">
            <x v="10"/>
          </reference>
        </references>
      </pivotArea>
    </format>
    <format dxfId="863">
      <pivotArea dataOnly="0" labelOnly="1" fieldPosition="0">
        <references count="2">
          <reference field="5" count="1">
            <x v="44"/>
          </reference>
          <reference field="6" count="1" selected="0">
            <x v="11"/>
          </reference>
        </references>
      </pivotArea>
    </format>
    <format dxfId="864">
      <pivotArea dataOnly="0" labelOnly="1" fieldPosition="0">
        <references count="2">
          <reference field="5" count="1">
            <x v="46"/>
          </reference>
          <reference field="6" count="1" selected="0">
            <x v="12"/>
          </reference>
        </references>
      </pivotArea>
    </format>
    <format dxfId="865">
      <pivotArea dataOnly="0" labelOnly="1" fieldPosition="0">
        <references count="2">
          <reference field="5" count="2">
            <x v="11"/>
            <x v="59"/>
          </reference>
          <reference field="6" count="1" selected="0">
            <x v="13"/>
          </reference>
        </references>
      </pivotArea>
    </format>
    <format dxfId="866">
      <pivotArea dataOnly="0" labelOnly="1" fieldPosition="0">
        <references count="2">
          <reference field="5" count="1">
            <x v="56"/>
          </reference>
          <reference field="6" count="1" selected="0">
            <x v="14"/>
          </reference>
        </references>
      </pivotArea>
    </format>
    <format dxfId="867">
      <pivotArea dataOnly="0" labelOnly="1" fieldPosition="0">
        <references count="2">
          <reference field="5" count="8">
            <x v="48"/>
            <x v="49"/>
            <x v="50"/>
            <x v="51"/>
            <x v="52"/>
            <x v="53"/>
            <x v="54"/>
            <x v="55"/>
          </reference>
          <reference field="6" count="1" selected="0">
            <x v="15"/>
          </reference>
        </references>
      </pivotArea>
    </format>
    <format dxfId="868">
      <pivotArea dataOnly="0" labelOnly="1" fieldPosition="0">
        <references count="2">
          <reference field="5" count="10">
            <x v="6"/>
            <x v="23"/>
            <x v="26"/>
            <x v="27"/>
            <x v="28"/>
            <x v="29"/>
            <x v="34"/>
            <x v="41"/>
            <x v="42"/>
            <x v="61"/>
          </reference>
          <reference field="6" count="1" selected="0">
            <x v="16"/>
          </reference>
        </references>
      </pivotArea>
    </format>
    <format dxfId="869">
      <pivotArea dataOnly="0" labelOnly="1" fieldPosition="0">
        <references count="2">
          <reference field="5" count="3">
            <x v="7"/>
            <x v="14"/>
            <x v="22"/>
          </reference>
          <reference field="6" count="1" selected="0">
            <x v="17"/>
          </reference>
        </references>
      </pivotArea>
    </format>
    <format dxfId="870">
      <pivotArea dataOnly="0" labelOnly="1" fieldPosition="0">
        <references count="2">
          <reference field="5" count="1">
            <x v="4"/>
          </reference>
          <reference field="6" count="1" selected="0">
            <x v="18"/>
          </reference>
        </references>
      </pivotArea>
    </format>
    <format dxfId="871">
      <pivotArea dataOnly="0" labelOnly="1" fieldPosition="0">
        <references count="2">
          <reference field="5" count="1">
            <x v="62"/>
          </reference>
          <reference field="6" count="1" selected="0">
            <x v="19"/>
          </reference>
        </references>
      </pivotArea>
    </format>
    <format dxfId="872">
      <pivotArea dataOnly="0" labelOnly="1" fieldPosition="0">
        <references count="2">
          <reference field="5" count="2">
            <x v="63"/>
            <x v="64"/>
          </reference>
          <reference field="6" count="1" selected="0">
            <x v="20"/>
          </reference>
        </references>
      </pivotArea>
    </format>
    <format dxfId="873">
      <pivotArea dataOnly="0" labelOnly="1" fieldPosition="0">
        <references count="2">
          <reference field="5" count="1">
            <x v="17"/>
          </reference>
          <reference field="6" count="1" selected="0">
            <x v="21"/>
          </reference>
        </references>
      </pivotArea>
    </format>
    <format dxfId="874">
      <pivotArea dataOnly="0" labelOnly="1" fieldPosition="0">
        <references count="3">
          <reference field="1" count="1">
            <x v="9"/>
          </reference>
          <reference field="5" count="1" selected="0">
            <x v="5"/>
          </reference>
          <reference field="6" count="1" selected="0">
            <x v="0"/>
          </reference>
        </references>
      </pivotArea>
    </format>
    <format dxfId="875">
      <pivotArea dataOnly="0" labelOnly="1" fieldPosition="0">
        <references count="3">
          <reference field="1" count="1">
            <x v="1"/>
          </reference>
          <reference field="5" count="1" selected="0">
            <x v="10"/>
          </reference>
          <reference field="6" count="1" selected="0">
            <x v="1"/>
          </reference>
        </references>
      </pivotArea>
    </format>
    <format dxfId="876">
      <pivotArea dataOnly="0" labelOnly="1" fieldPosition="0">
        <references count="3">
          <reference field="1" count="1">
            <x v="8"/>
          </reference>
          <reference field="5" count="1" selected="0">
            <x v="13"/>
          </reference>
          <reference field="6" count="1" selected="0">
            <x v="2"/>
          </reference>
        </references>
      </pivotArea>
    </format>
    <format dxfId="877">
      <pivotArea dataOnly="0" labelOnly="1" fieldPosition="0">
        <references count="3">
          <reference field="1" count="1">
            <x v="8"/>
          </reference>
          <reference field="5" count="1" selected="0">
            <x v="19"/>
          </reference>
          <reference field="6" count="1" selected="0">
            <x v="2"/>
          </reference>
        </references>
      </pivotArea>
    </format>
    <format dxfId="878">
      <pivotArea dataOnly="0" labelOnly="1" fieldPosition="0">
        <references count="3">
          <reference field="1" count="1">
            <x v="8"/>
          </reference>
          <reference field="5" count="1" selected="0">
            <x v="20"/>
          </reference>
          <reference field="6" count="1" selected="0">
            <x v="2"/>
          </reference>
        </references>
      </pivotArea>
    </format>
    <format dxfId="879">
      <pivotArea dataOnly="0" labelOnly="1" fieldPosition="0">
        <references count="3">
          <reference field="1" count="1">
            <x v="8"/>
          </reference>
          <reference field="5" count="1" selected="0">
            <x v="21"/>
          </reference>
          <reference field="6" count="1" selected="0">
            <x v="2"/>
          </reference>
        </references>
      </pivotArea>
    </format>
    <format dxfId="880">
      <pivotArea dataOnly="0" labelOnly="1" fieldPosition="0">
        <references count="3">
          <reference field="1" count="1">
            <x v="8"/>
          </reference>
          <reference field="5" count="1" selected="0">
            <x v="31"/>
          </reference>
          <reference field="6" count="1" selected="0">
            <x v="2"/>
          </reference>
        </references>
      </pivotArea>
    </format>
    <format dxfId="881">
      <pivotArea dataOnly="0" labelOnly="1" fieldPosition="0">
        <references count="3">
          <reference field="1" count="1">
            <x v="8"/>
          </reference>
          <reference field="5" count="1" selected="0">
            <x v="8"/>
          </reference>
          <reference field="6" count="1" selected="0">
            <x v="3"/>
          </reference>
        </references>
      </pivotArea>
    </format>
    <format dxfId="882">
      <pivotArea dataOnly="0" labelOnly="1" fieldPosition="0">
        <references count="3">
          <reference field="1" count="1">
            <x v="10"/>
          </reference>
          <reference field="5" count="1" selected="0">
            <x v="12"/>
          </reference>
          <reference field="6" count="1" selected="0">
            <x v="4"/>
          </reference>
        </references>
      </pivotArea>
    </format>
    <format dxfId="883">
      <pivotArea dataOnly="0" labelOnly="1" fieldPosition="0">
        <references count="3">
          <reference field="1" count="1">
            <x v="8"/>
          </reference>
          <reference field="5" count="1" selected="0">
            <x v="35"/>
          </reference>
          <reference field="6" count="1" selected="0">
            <x v="5"/>
          </reference>
        </references>
      </pivotArea>
    </format>
    <format dxfId="884">
      <pivotArea dataOnly="0" labelOnly="1" fieldPosition="0">
        <references count="3">
          <reference field="1" count="1">
            <x v="8"/>
          </reference>
          <reference field="5" count="1" selected="0">
            <x v="40"/>
          </reference>
          <reference field="6" count="1" selected="0">
            <x v="5"/>
          </reference>
        </references>
      </pivotArea>
    </format>
    <format dxfId="885">
      <pivotArea dataOnly="0" labelOnly="1" fieldPosition="0">
        <references count="3">
          <reference field="1" count="1">
            <x v="8"/>
          </reference>
          <reference field="5" count="1" selected="0">
            <x v="30"/>
          </reference>
          <reference field="6" count="1" selected="0">
            <x v="6"/>
          </reference>
        </references>
      </pivotArea>
    </format>
    <format dxfId="886">
      <pivotArea dataOnly="0" labelOnly="1" fieldPosition="0">
        <references count="3">
          <reference field="1" count="1">
            <x v="8"/>
          </reference>
          <reference field="5" count="1" selected="0">
            <x v="32"/>
          </reference>
          <reference field="6" count="1" selected="0">
            <x v="6"/>
          </reference>
        </references>
      </pivotArea>
    </format>
    <format dxfId="887">
      <pivotArea dataOnly="0" labelOnly="1" fieldPosition="0">
        <references count="3">
          <reference field="1" count="1">
            <x v="7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888">
      <pivotArea dataOnly="0" labelOnly="1" fieldPosition="0">
        <references count="3">
          <reference field="1" count="1">
            <x v="11"/>
          </reference>
          <reference field="5" count="1" selected="0">
            <x v="0"/>
          </reference>
          <reference field="6" count="1" selected="0">
            <x v="8"/>
          </reference>
        </references>
      </pivotArea>
    </format>
    <format dxfId="889">
      <pivotArea dataOnly="0" labelOnly="1" fieldPosition="0">
        <references count="3">
          <reference field="1" count="1">
            <x v="8"/>
          </reference>
          <reference field="5" count="1" selected="0">
            <x v="1"/>
          </reference>
          <reference field="6" count="1" selected="0">
            <x v="8"/>
          </reference>
        </references>
      </pivotArea>
    </format>
    <format dxfId="890">
      <pivotArea dataOnly="0" labelOnly="1" fieldPosition="0">
        <references count="3">
          <reference field="1" count="1">
            <x v="8"/>
          </reference>
          <reference field="5" count="1" selected="0">
            <x v="2"/>
          </reference>
          <reference field="6" count="1" selected="0">
            <x v="8"/>
          </reference>
        </references>
      </pivotArea>
    </format>
    <format dxfId="891">
      <pivotArea dataOnly="0" labelOnly="1" fieldPosition="0">
        <references count="3">
          <reference field="1" count="1">
            <x v="8"/>
          </reference>
          <reference field="5" count="1" selected="0">
            <x v="3"/>
          </reference>
          <reference field="6" count="1" selected="0">
            <x v="8"/>
          </reference>
        </references>
      </pivotArea>
    </format>
    <format dxfId="892">
      <pivotArea dataOnly="0" labelOnly="1" fieldPosition="0">
        <references count="3">
          <reference field="1" count="1">
            <x v="8"/>
          </reference>
          <reference field="5" count="1" selected="0">
            <x v="9"/>
          </reference>
          <reference field="6" count="1" selected="0">
            <x v="8"/>
          </reference>
        </references>
      </pivotArea>
    </format>
    <format dxfId="893">
      <pivotArea dataOnly="0" labelOnly="1" fieldPosition="0">
        <references count="3">
          <reference field="1" count="1">
            <x v="8"/>
          </reference>
          <reference field="5" count="1" selected="0">
            <x v="15"/>
          </reference>
          <reference field="6" count="1" selected="0">
            <x v="8"/>
          </reference>
        </references>
      </pivotArea>
    </format>
    <format dxfId="894">
      <pivotArea dataOnly="0" labelOnly="1" fieldPosition="0">
        <references count="3">
          <reference field="1" count="1">
            <x v="8"/>
          </reference>
          <reference field="5" count="1" selected="0">
            <x v="16"/>
          </reference>
          <reference field="6" count="1" selected="0">
            <x v="8"/>
          </reference>
        </references>
      </pivotArea>
    </format>
    <format dxfId="895">
      <pivotArea dataOnly="0" labelOnly="1" fieldPosition="0">
        <references count="3">
          <reference field="1" count="1">
            <x v="8"/>
          </reference>
          <reference field="5" count="1" selected="0">
            <x v="18"/>
          </reference>
          <reference field="6" count="1" selected="0">
            <x v="8"/>
          </reference>
        </references>
      </pivotArea>
    </format>
    <format dxfId="896">
      <pivotArea dataOnly="0" labelOnly="1" fieldPosition="0">
        <references count="3">
          <reference field="1" count="1">
            <x v="8"/>
          </reference>
          <reference field="5" count="1" selected="0">
            <x v="36"/>
          </reference>
          <reference field="6" count="1" selected="0">
            <x v="8"/>
          </reference>
        </references>
      </pivotArea>
    </format>
    <format dxfId="897">
      <pivotArea dataOnly="0" labelOnly="1" fieldPosition="0">
        <references count="3">
          <reference field="1" count="1">
            <x v="8"/>
          </reference>
          <reference field="5" count="1" selected="0">
            <x v="39"/>
          </reference>
          <reference field="6" count="1" selected="0">
            <x v="8"/>
          </reference>
        </references>
      </pivotArea>
    </format>
    <format dxfId="898">
      <pivotArea dataOnly="0" labelOnly="1" fieldPosition="0">
        <references count="3">
          <reference field="1" count="1">
            <x v="8"/>
          </reference>
          <reference field="5" count="1" selected="0">
            <x v="43"/>
          </reference>
          <reference field="6" count="1" selected="0">
            <x v="8"/>
          </reference>
        </references>
      </pivotArea>
    </format>
    <format dxfId="899">
      <pivotArea dataOnly="0" labelOnly="1" fieldPosition="0">
        <references count="3">
          <reference field="1" count="1">
            <x v="8"/>
          </reference>
          <reference field="5" count="1" selected="0">
            <x v="45"/>
          </reference>
          <reference field="6" count="1" selected="0">
            <x v="8"/>
          </reference>
        </references>
      </pivotArea>
    </format>
    <format dxfId="900">
      <pivotArea dataOnly="0" labelOnly="1" fieldPosition="0">
        <references count="3">
          <reference field="1" count="1">
            <x v="8"/>
          </reference>
          <reference field="5" count="1" selected="0">
            <x v="47"/>
          </reference>
          <reference field="6" count="1" selected="0">
            <x v="8"/>
          </reference>
        </references>
      </pivotArea>
    </format>
    <format dxfId="901">
      <pivotArea dataOnly="0" labelOnly="1" fieldPosition="0">
        <references count="3">
          <reference field="1" count="1">
            <x v="8"/>
          </reference>
          <reference field="5" count="1" selected="0">
            <x v="60"/>
          </reference>
          <reference field="6" count="1" selected="0">
            <x v="8"/>
          </reference>
        </references>
      </pivotArea>
    </format>
    <format dxfId="902">
      <pivotArea dataOnly="0" labelOnly="1" fieldPosition="0">
        <references count="3">
          <reference field="1" count="1">
            <x v="2"/>
          </reference>
          <reference field="5" count="1" selected="0">
            <x v="37"/>
          </reference>
          <reference field="6" count="1" selected="0">
            <x v="9"/>
          </reference>
        </references>
      </pivotArea>
    </format>
    <format dxfId="903">
      <pivotArea dataOnly="0" labelOnly="1" fieldPosition="0">
        <references count="3">
          <reference field="1" count="1">
            <x v="9"/>
          </reference>
          <reference field="5" count="1" selected="0">
            <x v="38"/>
          </reference>
          <reference field="6" count="1" selected="0">
            <x v="9"/>
          </reference>
        </references>
      </pivotArea>
    </format>
    <format dxfId="904">
      <pivotArea dataOnly="0" labelOnly="1" fieldPosition="0">
        <references count="3">
          <reference field="1" count="1">
            <x v="8"/>
          </reference>
          <reference field="5" count="1" selected="0">
            <x v="57"/>
          </reference>
          <reference field="6" count="1" selected="0">
            <x v="9"/>
          </reference>
        </references>
      </pivotArea>
    </format>
    <format dxfId="905">
      <pivotArea dataOnly="0" labelOnly="1" fieldPosition="0">
        <references count="3">
          <reference field="1" count="1">
            <x v="8"/>
          </reference>
          <reference field="5" count="1" selected="0">
            <x v="58"/>
          </reference>
          <reference field="6" count="1" selected="0">
            <x v="9"/>
          </reference>
        </references>
      </pivotArea>
    </format>
    <format dxfId="906">
      <pivotArea dataOnly="0" labelOnly="1" fieldPosition="0">
        <references count="3">
          <reference field="1" count="1">
            <x v="9"/>
          </reference>
          <reference field="5" count="1" selected="0">
            <x v="24"/>
          </reference>
          <reference field="6" count="1" selected="0">
            <x v="10"/>
          </reference>
        </references>
      </pivotArea>
    </format>
    <format dxfId="907">
      <pivotArea dataOnly="0" labelOnly="1" fieldPosition="0">
        <references count="3">
          <reference field="1" count="1">
            <x v="4"/>
          </reference>
          <reference field="5" count="1" selected="0">
            <x v="25"/>
          </reference>
          <reference field="6" count="1" selected="0">
            <x v="10"/>
          </reference>
        </references>
      </pivotArea>
    </format>
    <format dxfId="908">
      <pivotArea dataOnly="0" labelOnly="1" fieldPosition="0">
        <references count="3">
          <reference field="1" count="1">
            <x v="5"/>
          </reference>
          <reference field="5" count="1" selected="0">
            <x v="44"/>
          </reference>
          <reference field="6" count="1" selected="0">
            <x v="11"/>
          </reference>
        </references>
      </pivotArea>
    </format>
    <format dxfId="909">
      <pivotArea dataOnly="0" labelOnly="1" fieldPosition="0">
        <references count="3">
          <reference field="1" count="1">
            <x v="6"/>
          </reference>
          <reference field="5" count="1" selected="0">
            <x v="46"/>
          </reference>
          <reference field="6" count="1" selected="0">
            <x v="12"/>
          </reference>
        </references>
      </pivotArea>
    </format>
    <format dxfId="910">
      <pivotArea dataOnly="0" labelOnly="1" fieldPosition="0">
        <references count="3">
          <reference field="1" count="1">
            <x v="8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11">
      <pivotArea dataOnly="0" labelOnly="1" fieldPosition="0">
        <references count="3">
          <reference field="1" count="1">
            <x v="8"/>
          </reference>
          <reference field="5" count="1" selected="0">
            <x v="59"/>
          </reference>
          <reference field="6" count="1" selected="0">
            <x v="13"/>
          </reference>
        </references>
      </pivotArea>
    </format>
    <format dxfId="912">
      <pivotArea dataOnly="0" labelOnly="1" fieldPosition="0">
        <references count="3">
          <reference field="1" count="1">
            <x v="8"/>
          </reference>
          <reference field="5" count="1" selected="0">
            <x v="56"/>
          </reference>
          <reference field="6" count="1" selected="0">
            <x v="14"/>
          </reference>
        </references>
      </pivotArea>
    </format>
    <format dxfId="913">
      <pivotArea dataOnly="0" labelOnly="1" fieldPosition="0">
        <references count="3">
          <reference field="1" count="1">
            <x v="11"/>
          </reference>
          <reference field="5" count="1" selected="0">
            <x v="48"/>
          </reference>
          <reference field="6" count="1" selected="0">
            <x v="15"/>
          </reference>
        </references>
      </pivotArea>
    </format>
    <format dxfId="914">
      <pivotArea dataOnly="0" labelOnly="1" fieldPosition="0">
        <references count="3">
          <reference field="1" count="1">
            <x v="8"/>
          </reference>
          <reference field="5" count="1" selected="0">
            <x v="49"/>
          </reference>
          <reference field="6" count="1" selected="0">
            <x v="15"/>
          </reference>
        </references>
      </pivotArea>
    </format>
    <format dxfId="915">
      <pivotArea dataOnly="0" labelOnly="1" fieldPosition="0">
        <references count="3">
          <reference field="1" count="1">
            <x v="8"/>
          </reference>
          <reference field="5" count="1" selected="0">
            <x v="50"/>
          </reference>
          <reference field="6" count="1" selected="0">
            <x v="15"/>
          </reference>
        </references>
      </pivotArea>
    </format>
    <format dxfId="916">
      <pivotArea dataOnly="0" labelOnly="1" fieldPosition="0">
        <references count="3">
          <reference field="1" count="1">
            <x v="8"/>
          </reference>
          <reference field="5" count="1" selected="0">
            <x v="51"/>
          </reference>
          <reference field="6" count="1" selected="0">
            <x v="15"/>
          </reference>
        </references>
      </pivotArea>
    </format>
    <format dxfId="917">
      <pivotArea dataOnly="0" labelOnly="1" fieldPosition="0">
        <references count="3">
          <reference field="1" count="1">
            <x v="8"/>
          </reference>
          <reference field="5" count="1" selected="0">
            <x v="52"/>
          </reference>
          <reference field="6" count="1" selected="0">
            <x v="15"/>
          </reference>
        </references>
      </pivotArea>
    </format>
    <format dxfId="918">
      <pivotArea dataOnly="0" labelOnly="1" fieldPosition="0">
        <references count="3">
          <reference field="1" count="1">
            <x v="8"/>
          </reference>
          <reference field="5" count="1" selected="0">
            <x v="53"/>
          </reference>
          <reference field="6" count="1" selected="0">
            <x v="15"/>
          </reference>
        </references>
      </pivotArea>
    </format>
    <format dxfId="919">
      <pivotArea dataOnly="0" labelOnly="1" fieldPosition="0">
        <references count="3">
          <reference field="1" count="1">
            <x v="8"/>
          </reference>
          <reference field="5" count="1" selected="0">
            <x v="54"/>
          </reference>
          <reference field="6" count="1" selected="0">
            <x v="15"/>
          </reference>
        </references>
      </pivotArea>
    </format>
    <format dxfId="920">
      <pivotArea dataOnly="0" labelOnly="1" fieldPosition="0">
        <references count="3">
          <reference field="1" count="1">
            <x v="9"/>
          </reference>
          <reference field="5" count="1" selected="0">
            <x v="55"/>
          </reference>
          <reference field="6" count="1" selected="0">
            <x v="15"/>
          </reference>
        </references>
      </pivotArea>
    </format>
    <format dxfId="921">
      <pivotArea dataOnly="0" labelOnly="1" fieldPosition="0">
        <references count="3">
          <reference field="1" count="1">
            <x v="8"/>
          </reference>
          <reference field="5" count="1" selected="0">
            <x v="6"/>
          </reference>
          <reference field="6" count="1" selected="0">
            <x v="16"/>
          </reference>
        </references>
      </pivotArea>
    </format>
    <format dxfId="922">
      <pivotArea dataOnly="0" labelOnly="1" fieldPosition="0">
        <references count="3">
          <reference field="1" count="1">
            <x v="8"/>
          </reference>
          <reference field="5" count="1" selected="0">
            <x v="23"/>
          </reference>
          <reference field="6" count="1" selected="0">
            <x v="16"/>
          </reference>
        </references>
      </pivotArea>
    </format>
    <format dxfId="923">
      <pivotArea dataOnly="0" labelOnly="1" fieldPosition="0">
        <references count="3">
          <reference field="1" count="1">
            <x v="8"/>
          </reference>
          <reference field="5" count="1" selected="0">
            <x v="26"/>
          </reference>
          <reference field="6" count="1" selected="0">
            <x v="16"/>
          </reference>
        </references>
      </pivotArea>
    </format>
    <format dxfId="924">
      <pivotArea dataOnly="0" labelOnly="1" fieldPosition="0">
        <references count="3">
          <reference field="1" count="1">
            <x v="8"/>
          </reference>
          <reference field="5" count="1" selected="0">
            <x v="27"/>
          </reference>
          <reference field="6" count="1" selected="0">
            <x v="16"/>
          </reference>
        </references>
      </pivotArea>
    </format>
    <format dxfId="925">
      <pivotArea dataOnly="0" labelOnly="1" fieldPosition="0">
        <references count="3">
          <reference field="1" count="1">
            <x v="8"/>
          </reference>
          <reference field="5" count="1" selected="0">
            <x v="28"/>
          </reference>
          <reference field="6" count="1" selected="0">
            <x v="16"/>
          </reference>
        </references>
      </pivotArea>
    </format>
    <format dxfId="926">
      <pivotArea dataOnly="0" labelOnly="1" fieldPosition="0">
        <references count="3">
          <reference field="1" count="1">
            <x v="8"/>
          </reference>
          <reference field="5" count="1" selected="0">
            <x v="29"/>
          </reference>
          <reference field="6" count="1" selected="0">
            <x v="16"/>
          </reference>
        </references>
      </pivotArea>
    </format>
    <format dxfId="927">
      <pivotArea dataOnly="0" labelOnly="1" fieldPosition="0">
        <references count="3">
          <reference field="1" count="1">
            <x v="8"/>
          </reference>
          <reference field="5" count="1" selected="0">
            <x v="34"/>
          </reference>
          <reference field="6" count="1" selected="0">
            <x v="16"/>
          </reference>
        </references>
      </pivotArea>
    </format>
    <format dxfId="928">
      <pivotArea dataOnly="0" labelOnly="1" fieldPosition="0">
        <references count="3">
          <reference field="1" count="2">
            <x v="3"/>
            <x v="8"/>
          </reference>
          <reference field="5" count="1" selected="0">
            <x v="41"/>
          </reference>
          <reference field="6" count="1" selected="0">
            <x v="16"/>
          </reference>
        </references>
      </pivotArea>
    </format>
    <format dxfId="929">
      <pivotArea dataOnly="0" labelOnly="1" fieldPosition="0">
        <references count="3">
          <reference field="1" count="1">
            <x v="8"/>
          </reference>
          <reference field="5" count="1" selected="0">
            <x v="42"/>
          </reference>
          <reference field="6" count="1" selected="0">
            <x v="16"/>
          </reference>
        </references>
      </pivotArea>
    </format>
    <format dxfId="930">
      <pivotArea dataOnly="0" labelOnly="1" fieldPosition="0">
        <references count="3">
          <reference field="1" count="1">
            <x v="4"/>
          </reference>
          <reference field="5" count="1" selected="0">
            <x v="61"/>
          </reference>
          <reference field="6" count="1" selected="0">
            <x v="16"/>
          </reference>
        </references>
      </pivotArea>
    </format>
    <format dxfId="931">
      <pivotArea dataOnly="0" labelOnly="1" fieldPosition="0">
        <references count="3">
          <reference field="1" count="1">
            <x v="8"/>
          </reference>
          <reference field="5" count="1" selected="0">
            <x v="7"/>
          </reference>
          <reference field="6" count="1" selected="0">
            <x v="17"/>
          </reference>
        </references>
      </pivotArea>
    </format>
    <format dxfId="932">
      <pivotArea dataOnly="0" labelOnly="1" fieldPosition="0">
        <references count="3">
          <reference field="1" count="1">
            <x v="8"/>
          </reference>
          <reference field="5" count="1" selected="0">
            <x v="14"/>
          </reference>
          <reference field="6" count="1" selected="0">
            <x v="17"/>
          </reference>
        </references>
      </pivotArea>
    </format>
    <format dxfId="933">
      <pivotArea dataOnly="0" labelOnly="1" fieldPosition="0">
        <references count="3">
          <reference field="1" count="1">
            <x v="8"/>
          </reference>
          <reference field="5" count="1" selected="0">
            <x v="22"/>
          </reference>
          <reference field="6" count="1" selected="0">
            <x v="17"/>
          </reference>
        </references>
      </pivotArea>
    </format>
    <format dxfId="934">
      <pivotArea dataOnly="0" labelOnly="1" fieldPosition="0">
        <references count="3">
          <reference field="1" count="2">
            <x v="0"/>
            <x v="8"/>
          </reference>
          <reference field="5" count="1" selected="0">
            <x v="4"/>
          </reference>
          <reference field="6" count="1" selected="0">
            <x v="18"/>
          </reference>
        </references>
      </pivotArea>
    </format>
    <format dxfId="935">
      <pivotArea dataOnly="0" labelOnly="1" fieldPosition="0">
        <references count="3">
          <reference field="1" count="1">
            <x v="9"/>
          </reference>
          <reference field="5" count="1" selected="0">
            <x v="62"/>
          </reference>
          <reference field="6" count="1" selected="0">
            <x v="19"/>
          </reference>
        </references>
      </pivotArea>
    </format>
    <format dxfId="936">
      <pivotArea dataOnly="0" labelOnly="1" fieldPosition="0">
        <references count="3">
          <reference field="1" count="1">
            <x v="9"/>
          </reference>
          <reference field="5" count="1" selected="0">
            <x v="63"/>
          </reference>
          <reference field="6" count="1" selected="0">
            <x v="20"/>
          </reference>
        </references>
      </pivotArea>
    </format>
    <format dxfId="937">
      <pivotArea dataOnly="0" labelOnly="1" fieldPosition="0">
        <references count="3">
          <reference field="1" count="1">
            <x v="9"/>
          </reference>
          <reference field="5" count="1" selected="0">
            <x v="64"/>
          </reference>
          <reference field="6" count="1" selected="0">
            <x v="20"/>
          </reference>
        </references>
      </pivotArea>
    </format>
    <format dxfId="938">
      <pivotArea dataOnly="0" labelOnly="1" fieldPosition="0">
        <references count="3">
          <reference field="1" count="1">
            <x v="8"/>
          </reference>
          <reference field="5" count="1" selected="0">
            <x v="17"/>
          </reference>
          <reference field="6" count="1" selected="0">
            <x v="21"/>
          </reference>
        </references>
      </pivotArea>
    </format>
    <format dxfId="9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Tabela Dinâmica Padrão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68152-5950-47BB-B090-5F914834A693}" name="Tabela dinâmica1" cacheId="110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mergeItem="1" createdVersion="8" indent="0" outline="1" outlineData="1" multipleFieldFilters="0" rowHeaderCaption=" Grupo ">
  <location ref="I5:N100" firstHeaderRow="0" firstDataRow="1" firstDataCol="3"/>
  <pivotFields count="7">
    <pivotField showAll="0"/>
    <pivotField axis="axisRow" outline="0" showAll="0" sortType="descending" defaultSubtotal="0">
      <items count="25">
        <item x="3"/>
        <item x="4"/>
        <item x="8"/>
        <item x="0"/>
        <item x="2"/>
        <item x="1"/>
        <item m="1" x="23"/>
        <item m="1" x="24"/>
        <item m="1" x="18"/>
        <item m="1" x="17"/>
        <item m="1" x="22"/>
        <item x="6"/>
        <item x="7"/>
        <item m="1" x="19"/>
        <item m="1" x="10"/>
        <item m="1" x="12"/>
        <item m="1" x="21"/>
        <item m="1" x="14"/>
        <item m="1" x="15"/>
        <item m="1" x="16"/>
        <item m="1" x="20"/>
        <item m="1" x="13"/>
        <item x="5"/>
        <item m="1" x="11"/>
        <item x="9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2" showAll="0"/>
    <pivotField dataField="1" numFmtId="44" showAll="0"/>
    <pivotField dataField="1" numFmtId="44" showAll="0"/>
    <pivotField axis="axisRow" outline="0" showAll="0" sortType="descending" defaultSubtotal="0">
      <items count="130">
        <item x="18"/>
        <item x="19"/>
        <item x="20"/>
        <item x="21"/>
        <item m="1" x="74"/>
        <item x="34"/>
        <item x="43"/>
        <item x="6"/>
        <item x="23"/>
        <item x="31"/>
        <item x="44"/>
        <item x="24"/>
        <item x="25"/>
        <item x="14"/>
        <item x="3"/>
        <item x="35"/>
        <item x="59"/>
        <item m="1" x="72"/>
        <item x="37"/>
        <item x="12"/>
        <item x="4"/>
        <item x="13"/>
        <item x="38"/>
        <item x="8"/>
        <item x="26"/>
        <item x="17"/>
        <item x="39"/>
        <item x="40"/>
        <item x="49"/>
        <item x="15"/>
        <item x="61"/>
        <item x="62"/>
        <item x="70"/>
        <item m="1" x="113"/>
        <item x="52"/>
        <item x="54"/>
        <item x="28"/>
        <item x="29"/>
        <item x="57"/>
        <item x="16"/>
        <item x="42"/>
        <item x="5"/>
        <item x="10"/>
        <item x="22"/>
        <item x="32"/>
        <item x="55"/>
        <item m="1" x="117"/>
        <item m="1" x="80"/>
        <item x="56"/>
        <item x="58"/>
        <item m="1" x="115"/>
        <item m="1" x="108"/>
        <item x="60"/>
        <item x="45"/>
        <item x="30"/>
        <item m="1" x="120"/>
        <item x="2"/>
        <item x="1"/>
        <item m="1" x="129"/>
        <item x="46"/>
        <item m="1" x="128"/>
        <item x="0"/>
        <item m="1" x="84"/>
        <item x="9"/>
        <item m="1" x="102"/>
        <item m="1" x="103"/>
        <item x="27"/>
        <item x="33"/>
        <item x="36"/>
        <item m="1" x="86"/>
        <item m="1" x="105"/>
        <item m="1" x="73"/>
        <item m="1" x="125"/>
        <item x="47"/>
        <item x="48"/>
        <item m="1" x="111"/>
        <item x="50"/>
        <item x="53"/>
        <item m="1" x="126"/>
        <item m="1" x="127"/>
        <item x="64"/>
        <item x="65"/>
        <item x="66"/>
        <item m="1" x="123"/>
        <item x="51"/>
        <item m="1" x="77"/>
        <item m="1" x="118"/>
        <item m="1" x="78"/>
        <item m="1" x="119"/>
        <item m="1" x="124"/>
        <item x="68"/>
        <item m="1" x="81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x="7"/>
        <item m="1" x="99"/>
        <item m="1" x="100"/>
        <item m="1" x="101"/>
        <item m="1" x="104"/>
        <item m="1" x="106"/>
        <item m="1" x="107"/>
        <item m="1" x="109"/>
        <item m="1" x="110"/>
        <item m="1" x="112"/>
        <item m="1" x="114"/>
        <item m="1" x="116"/>
        <item m="1" x="121"/>
        <item m="1" x="122"/>
        <item m="1" x="83"/>
        <item m="1" x="85"/>
        <item m="1" x="87"/>
        <item m="1" x="82"/>
        <item m="1" x="75"/>
        <item m="1" x="76"/>
        <item x="67"/>
        <item m="1" x="79"/>
        <item x="63"/>
        <item x="69"/>
        <item x="11"/>
        <item x="71"/>
        <item x="41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insertBlankRow="1" sortType="descending" defaultSubtotal="0">
      <items count="35">
        <item x="2"/>
        <item x="3"/>
        <item x="5"/>
        <item x="6"/>
        <item x="7"/>
        <item x="8"/>
        <item x="18"/>
        <item x="15"/>
        <item x="9"/>
        <item x="17"/>
        <item x="10"/>
        <item x="11"/>
        <item m="1" x="23"/>
        <item m="1" x="27"/>
        <item x="19"/>
        <item x="1"/>
        <item x="12"/>
        <item x="0"/>
        <item x="13"/>
        <item x="14"/>
        <item m="1" x="25"/>
        <item x="16"/>
        <item m="1" x="34"/>
        <item x="20"/>
        <item m="1" x="33"/>
        <item x="21"/>
        <item m="1" x="28"/>
        <item m="1" x="29"/>
        <item m="1" x="30"/>
        <item m="1" x="31"/>
        <item x="4"/>
        <item m="1" x="32"/>
        <item m="1" x="26"/>
        <item m="1" x="24"/>
        <item x="22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"/>
    <field x="5"/>
    <field x="1"/>
  </rowFields>
  <rowItems count="95">
    <i>
      <x/>
      <x v="14"/>
      <x v="3"/>
    </i>
    <i r="1">
      <x v="41"/>
      <x v="3"/>
    </i>
    <i r="1">
      <x v="20"/>
      <x v="3"/>
    </i>
    <i r="1">
      <x v="56"/>
      <x v="3"/>
    </i>
    <i t="blank">
      <x/>
    </i>
    <i>
      <x v="8"/>
      <x v="38"/>
      <x v="3"/>
    </i>
    <i r="1">
      <x v="9"/>
      <x v="3"/>
    </i>
    <i r="1">
      <x v="54"/>
      <x v="3"/>
    </i>
    <i t="blank">
      <x v="8"/>
    </i>
    <i>
      <x v="3"/>
      <x v="19"/>
      <x v="3"/>
    </i>
    <i r="1">
      <x v="21"/>
      <x v="3"/>
    </i>
    <i r="1">
      <x v="127"/>
      <x v="3"/>
    </i>
    <i t="blank">
      <x v="3"/>
    </i>
    <i>
      <x v="1"/>
      <x v="7"/>
      <x v="3"/>
    </i>
    <i t="blank">
      <x v="1"/>
    </i>
    <i>
      <x v="11"/>
      <x v="6"/>
      <x v="3"/>
    </i>
    <i r="1">
      <x v="10"/>
      <x v="3"/>
    </i>
    <i r="1">
      <x v="53"/>
      <x v="3"/>
    </i>
    <i t="blank">
      <x v="11"/>
    </i>
    <i>
      <x v="5"/>
      <x v="37"/>
      <x v="3"/>
    </i>
    <i r="1">
      <x v="24"/>
      <x v="4"/>
    </i>
    <i r="1">
      <x v="36"/>
      <x v="3"/>
    </i>
    <i r="1">
      <x v="66"/>
      <x v="3"/>
    </i>
    <i t="blank">
      <x v="5"/>
    </i>
    <i>
      <x v="10"/>
      <x v="27"/>
      <x v="3"/>
    </i>
    <i r="1">
      <x v="18"/>
      <x v="3"/>
    </i>
    <i r="1">
      <x v="5"/>
      <x v="3"/>
    </i>
    <i r="1">
      <x v="15"/>
      <x v="3"/>
    </i>
    <i r="1">
      <x v="129"/>
      <x v="3"/>
    </i>
    <i r="1">
      <x v="68"/>
      <x v="3"/>
    </i>
    <i r="1">
      <x v="22"/>
      <x v="3"/>
    </i>
    <i r="1">
      <x v="26"/>
      <x/>
    </i>
    <i r="1">
      <x v="67"/>
      <x v="3"/>
    </i>
    <i r="1">
      <x v="40"/>
      <x v="1"/>
    </i>
    <i r="1">
      <x v="44"/>
      <x v="3"/>
    </i>
    <i t="blank">
      <x v="10"/>
    </i>
    <i>
      <x v="2"/>
      <x v="42"/>
      <x v="3"/>
    </i>
    <i r="1">
      <x v="63"/>
      <x v="3"/>
    </i>
    <i r="1">
      <x v="23"/>
      <x v="3"/>
    </i>
    <i t="blank">
      <x v="2"/>
    </i>
    <i>
      <x v="4"/>
      <x v="39"/>
      <x v="3"/>
    </i>
    <i r="1">
      <x v="25"/>
      <x v="3"/>
    </i>
    <i r="1">
      <x v="29"/>
      <x v="3"/>
    </i>
    <i r="1">
      <x v="12"/>
      <x v="3"/>
    </i>
    <i r="1">
      <x/>
      <x v="5"/>
    </i>
    <i r="1">
      <x v="43"/>
      <x v="3"/>
    </i>
    <i r="1">
      <x v="8"/>
      <x v="3"/>
    </i>
    <i r="1">
      <x v="11"/>
      <x v="3"/>
    </i>
    <i r="1">
      <x v="3"/>
      <x v="3"/>
    </i>
    <i r="1">
      <x v="13"/>
      <x v="3"/>
    </i>
    <i r="1">
      <x v="2"/>
      <x v="3"/>
    </i>
    <i r="1">
      <x v="1"/>
      <x v="3"/>
    </i>
    <i t="blank">
      <x v="4"/>
    </i>
    <i>
      <x v="9"/>
      <x v="45"/>
      <x v="4"/>
    </i>
    <i r="1">
      <x v="32"/>
      <x v="3"/>
    </i>
    <i r="1">
      <x v="35"/>
      <x v="4"/>
    </i>
    <i r="1">
      <x v="30"/>
      <x v="3"/>
    </i>
    <i r="1">
      <x v="48"/>
      <x v="4"/>
    </i>
    <i r="1">
      <x v="31"/>
      <x v="3"/>
    </i>
    <i r="1">
      <x v="34"/>
      <x v="3"/>
    </i>
    <i r="1">
      <x v="84"/>
      <x v="3"/>
    </i>
    <i r="1">
      <x v="77"/>
      <x v="3"/>
    </i>
    <i t="blank">
      <x v="9"/>
    </i>
    <i>
      <x v="21"/>
      <x v="76"/>
      <x v="3"/>
    </i>
    <i t="blank">
      <x v="21"/>
    </i>
    <i>
      <x v="15"/>
      <x v="57"/>
      <x v="5"/>
    </i>
    <i t="blank">
      <x v="15"/>
    </i>
    <i>
      <x v="25"/>
      <x v="90"/>
      <x v="4"/>
    </i>
    <i r="1">
      <x v="126"/>
      <x v="4"/>
    </i>
    <i r="1">
      <x v="123"/>
      <x v="4"/>
    </i>
    <i t="blank">
      <x v="25"/>
    </i>
    <i>
      <x v="17"/>
      <x v="61"/>
      <x v="3"/>
    </i>
    <i t="blank">
      <x v="17"/>
    </i>
    <i>
      <x v="6"/>
      <x v="16"/>
      <x v="4"/>
    </i>
    <i r="1">
      <x v="49"/>
      <x v="4"/>
    </i>
    <i r="1">
      <x v="52"/>
      <x v="5"/>
    </i>
    <i t="blank">
      <x v="6"/>
    </i>
    <i>
      <x v="23"/>
      <x v="82"/>
      <x v="4"/>
    </i>
    <i r="1">
      <x v="81"/>
      <x v="24"/>
    </i>
    <i t="blank">
      <x v="23"/>
    </i>
    <i>
      <x v="30"/>
      <x v="103"/>
      <x v="3"/>
    </i>
    <i t="blank">
      <x v="30"/>
    </i>
    <i>
      <x v="7"/>
      <x v="28"/>
      <x v="2"/>
    </i>
    <i t="blank">
      <x v="7"/>
    </i>
    <i>
      <x v="34"/>
      <x v="128"/>
      <x v="4"/>
    </i>
    <i t="blank">
      <x v="34"/>
    </i>
    <i>
      <x v="14"/>
      <x v="80"/>
      <x v="4"/>
    </i>
    <i r="1">
      <x v="125"/>
      <x v="4"/>
    </i>
    <i t="blank">
      <x v="14"/>
    </i>
    <i>
      <x v="19"/>
      <x v="74"/>
      <x v="12"/>
    </i>
    <i t="blank">
      <x v="19"/>
    </i>
    <i>
      <x v="18"/>
      <x v="73"/>
      <x v="11"/>
    </i>
    <i t="blank">
      <x v="18"/>
    </i>
    <i>
      <x v="16"/>
      <x v="59"/>
      <x v="22"/>
    </i>
    <i t="blank">
      <x v="16"/>
    </i>
  </rowItems>
  <colFields count="1">
    <field x="-2"/>
  </colFields>
  <colItems count="3">
    <i>
      <x/>
    </i>
    <i i="1">
      <x v="1"/>
    </i>
    <i i="2">
      <x v="2"/>
    </i>
  </colItems>
  <dataFields count="3">
    <dataField name="Quantidade" fld="2" baseField="0" baseItem="0" numFmtId="2"/>
    <dataField name="Valor Unitário" fld="3" subtotal="average" baseField="1" baseItem="3" numFmtId="44"/>
    <dataField name="Valor Total" fld="4" baseField="0" baseItem="0" numFmtId="44"/>
  </dataFields>
  <formats count="124">
    <format dxfId="470">
      <pivotArea type="all" dataOnly="0" outline="0" fieldPosition="0"/>
    </format>
    <format dxfId="471">
      <pivotArea outline="0" collapsedLevelsAreSubtotals="1" fieldPosition="0"/>
    </format>
    <format dxfId="472">
      <pivotArea field="6" type="button" dataOnly="0" labelOnly="1" outline="0" axis="axisRow" fieldPosition="0"/>
    </format>
    <format dxfId="473">
      <pivotArea field="5" type="button" dataOnly="0" labelOnly="1" outline="0" axis="axisRow" fieldPosition="1"/>
    </format>
    <format dxfId="474">
      <pivotArea field="1" type="button" dataOnly="0" labelOnly="1" outline="0" axis="axisRow" fieldPosition="2"/>
    </format>
    <format dxfId="475">
      <pivotArea dataOnly="0" labelOnly="1" fieldPosition="0">
        <references count="1">
          <reference field="6" count="0"/>
        </references>
      </pivotArea>
    </format>
    <format dxfId="476">
      <pivotArea dataOnly="0" labelOnly="1" grandRow="1" outline="0" fieldPosition="0"/>
    </format>
    <format dxfId="477">
      <pivotArea dataOnly="0" labelOnly="1" fieldPosition="0">
        <references count="2">
          <reference field="5" count="2">
            <x v="14"/>
            <x v="20"/>
          </reference>
          <reference field="6" count="1" selected="0">
            <x v="0"/>
          </reference>
        </references>
      </pivotArea>
    </format>
    <format dxfId="478">
      <pivotArea dataOnly="0" labelOnly="1" fieldPosition="0">
        <references count="2">
          <reference field="5" count="1">
            <x v="7"/>
          </reference>
          <reference field="6" count="1" selected="0">
            <x v="1"/>
          </reference>
        </references>
      </pivotArea>
    </format>
    <format dxfId="479">
      <pivotArea dataOnly="0" labelOnly="1" fieldPosition="0">
        <references count="2">
          <reference field="5" count="1">
            <x v="23"/>
          </reference>
          <reference field="6" count="1" selected="0">
            <x v="2"/>
          </reference>
        </references>
      </pivotArea>
    </format>
    <format dxfId="480">
      <pivotArea dataOnly="0" labelOnly="1" fieldPosition="0">
        <references count="2">
          <reference field="5" count="2">
            <x v="19"/>
            <x v="21"/>
          </reference>
          <reference field="6" count="1" selected="0">
            <x v="3"/>
          </reference>
        </references>
      </pivotArea>
    </format>
    <format dxfId="481">
      <pivotArea dataOnly="0" labelOnly="1" fieldPosition="0">
        <references count="2">
          <reference field="5" count="11">
            <x v="0"/>
            <x v="1"/>
            <x v="2"/>
            <x v="3"/>
            <x v="8"/>
            <x v="11"/>
            <x v="12"/>
            <x v="13"/>
            <x v="25"/>
            <x v="29"/>
            <x v="39"/>
          </reference>
          <reference field="6" count="1" selected="0">
            <x v="4"/>
          </reference>
        </references>
      </pivotArea>
    </format>
    <format dxfId="482">
      <pivotArea dataOnly="0" labelOnly="1" fieldPosition="0">
        <references count="2">
          <reference field="5" count="3">
            <x v="24"/>
            <x v="36"/>
            <x v="37"/>
          </reference>
          <reference field="6" count="1" selected="0">
            <x v="5"/>
          </reference>
        </references>
      </pivotArea>
    </format>
    <format dxfId="483">
      <pivotArea dataOnly="0" labelOnly="1" fieldPosition="0">
        <references count="2">
          <reference field="5" count="1">
            <x v="16"/>
          </reference>
          <reference field="6" count="1" selected="0">
            <x v="6"/>
          </reference>
        </references>
      </pivotArea>
    </format>
    <format dxfId="484">
      <pivotArea dataOnly="0" labelOnly="1" fieldPosition="0">
        <references count="2">
          <reference field="5" count="1">
            <x v="28"/>
          </reference>
          <reference field="6" count="1" selected="0">
            <x v="7"/>
          </reference>
        </references>
      </pivotArea>
    </format>
    <format dxfId="485">
      <pivotArea dataOnly="0" labelOnly="1" fieldPosition="0">
        <references count="2">
          <reference field="5" count="2">
            <x v="9"/>
            <x v="38"/>
          </reference>
          <reference field="6" count="1" selected="0">
            <x v="8"/>
          </reference>
        </references>
      </pivotArea>
    </format>
    <format dxfId="486">
      <pivotArea dataOnly="0" labelOnly="1" fieldPosition="0">
        <references count="2">
          <reference field="5" count="6">
            <x v="30"/>
            <x v="31"/>
            <x v="32"/>
            <x v="33"/>
            <x v="34"/>
            <x v="35"/>
          </reference>
          <reference field="6" count="1" selected="0">
            <x v="9"/>
          </reference>
        </references>
      </pivotArea>
    </format>
    <format dxfId="487">
      <pivotArea dataOnly="0" labelOnly="1" fieldPosition="0">
        <references count="2">
          <reference field="5" count="8">
            <x v="5"/>
            <x v="15"/>
            <x v="17"/>
            <x v="18"/>
            <x v="22"/>
            <x v="26"/>
            <x v="27"/>
            <x v="40"/>
          </reference>
          <reference field="6" count="1" selected="0">
            <x v="10"/>
          </reference>
        </references>
      </pivotArea>
    </format>
    <format dxfId="488">
      <pivotArea dataOnly="0" labelOnly="1" fieldPosition="0">
        <references count="2">
          <reference field="5" count="2">
            <x v="6"/>
            <x v="10"/>
          </reference>
          <reference field="6" count="1" selected="0">
            <x v="11"/>
          </reference>
        </references>
      </pivotArea>
    </format>
    <format dxfId="489">
      <pivotArea dataOnly="0" labelOnly="1" fieldPosition="0">
        <references count="2">
          <reference field="5" count="1">
            <x v="4"/>
          </reference>
          <reference field="6" count="1" selected="0">
            <x v="12"/>
          </reference>
        </references>
      </pivotArea>
    </format>
    <format dxfId="490">
      <pivotArea dataOnly="0" labelOnly="1" fieldPosition="0">
        <references count="3">
          <reference field="1" count="1">
            <x v="3"/>
          </reference>
          <reference field="5" count="1" selected="0">
            <x v="14"/>
          </reference>
          <reference field="6" count="1" selected="0">
            <x v="0"/>
          </reference>
        </references>
      </pivotArea>
    </format>
    <format dxfId="491">
      <pivotArea dataOnly="0" labelOnly="1" fieldPosition="0">
        <references count="3">
          <reference field="1" count="1">
            <x v="3"/>
          </reference>
          <reference field="5" count="1" selected="0">
            <x v="20"/>
          </reference>
          <reference field="6" count="1" selected="0">
            <x v="0"/>
          </reference>
        </references>
      </pivotArea>
    </format>
    <format dxfId="492">
      <pivotArea dataOnly="0" labelOnly="1" fieldPosition="0">
        <references count="3">
          <reference field="1" count="1">
            <x v="3"/>
          </reference>
          <reference field="5" count="1" selected="0">
            <x v="7"/>
          </reference>
          <reference field="6" count="1" selected="0">
            <x v="1"/>
          </reference>
        </references>
      </pivotArea>
    </format>
    <format dxfId="493">
      <pivotArea dataOnly="0" labelOnly="1" fieldPosition="0">
        <references count="3">
          <reference field="1" count="1">
            <x v="3"/>
          </reference>
          <reference field="5" count="1" selected="0">
            <x v="23"/>
          </reference>
          <reference field="6" count="1" selected="0">
            <x v="2"/>
          </reference>
        </references>
      </pivotArea>
    </format>
    <format dxfId="494">
      <pivotArea dataOnly="0" labelOnly="1" fieldPosition="0">
        <references count="3">
          <reference field="1" count="1">
            <x v="3"/>
          </reference>
          <reference field="5" count="1" selected="0">
            <x v="19"/>
          </reference>
          <reference field="6" count="1" selected="0">
            <x v="3"/>
          </reference>
        </references>
      </pivotArea>
    </format>
    <format dxfId="495">
      <pivotArea dataOnly="0" labelOnly="1" fieldPosition="0">
        <references count="3">
          <reference field="1" count="1">
            <x v="3"/>
          </reference>
          <reference field="5" count="1" selected="0">
            <x v="21"/>
          </reference>
          <reference field="6" count="1" selected="0">
            <x v="3"/>
          </reference>
        </references>
      </pivotArea>
    </format>
    <format dxfId="496">
      <pivotArea dataOnly="0" labelOnly="1" fieldPosition="0">
        <references count="3">
          <reference field="1" count="1">
            <x v="5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497">
      <pivotArea dataOnly="0" labelOnly="1" fieldPosition="0">
        <references count="3">
          <reference field="1" count="1">
            <x v="3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498">
      <pivotArea dataOnly="0" labelOnly="1" fieldPosition="0">
        <references count="3">
          <reference field="1" count="1">
            <x v="3"/>
          </reference>
          <reference field="5" count="1" selected="0">
            <x v="2"/>
          </reference>
          <reference field="6" count="1" selected="0">
            <x v="4"/>
          </reference>
        </references>
      </pivotArea>
    </format>
    <format dxfId="499">
      <pivotArea dataOnly="0" labelOnly="1" fieldPosition="0">
        <references count="3">
          <reference field="1" count="1">
            <x v="3"/>
          </reference>
          <reference field="5" count="1" selected="0">
            <x v="3"/>
          </reference>
          <reference field="6" count="1" selected="0">
            <x v="4"/>
          </reference>
        </references>
      </pivotArea>
    </format>
    <format dxfId="500">
      <pivotArea dataOnly="0" labelOnly="1" fieldPosition="0">
        <references count="3">
          <reference field="1" count="1">
            <x v="3"/>
          </reference>
          <reference field="5" count="1" selected="0">
            <x v="8"/>
          </reference>
          <reference field="6" count="1" selected="0">
            <x v="4"/>
          </reference>
        </references>
      </pivotArea>
    </format>
    <format dxfId="501">
      <pivotArea dataOnly="0" labelOnly="1" fieldPosition="0">
        <references count="3">
          <reference field="1" count="1">
            <x v="3"/>
          </reference>
          <reference field="5" count="1" selected="0">
            <x v="11"/>
          </reference>
          <reference field="6" count="1" selected="0">
            <x v="4"/>
          </reference>
        </references>
      </pivotArea>
    </format>
    <format dxfId="502">
      <pivotArea dataOnly="0" labelOnly="1" fieldPosition="0">
        <references count="3">
          <reference field="1" count="1">
            <x v="3"/>
          </reference>
          <reference field="5" count="1" selected="0">
            <x v="12"/>
          </reference>
          <reference field="6" count="1" selected="0">
            <x v="4"/>
          </reference>
        </references>
      </pivotArea>
    </format>
    <format dxfId="503">
      <pivotArea dataOnly="0" labelOnly="1" fieldPosition="0">
        <references count="3">
          <reference field="1" count="1">
            <x v="3"/>
          </reference>
          <reference field="5" count="1" selected="0">
            <x v="13"/>
          </reference>
          <reference field="6" count="1" selected="0">
            <x v="4"/>
          </reference>
        </references>
      </pivotArea>
    </format>
    <format dxfId="504">
      <pivotArea dataOnly="0" labelOnly="1" fieldPosition="0">
        <references count="3">
          <reference field="1" count="1">
            <x v="3"/>
          </reference>
          <reference field="5" count="1" selected="0">
            <x v="25"/>
          </reference>
          <reference field="6" count="1" selected="0">
            <x v="4"/>
          </reference>
        </references>
      </pivotArea>
    </format>
    <format dxfId="505">
      <pivotArea dataOnly="0" labelOnly="1" fieldPosition="0">
        <references count="3">
          <reference field="1" count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506">
      <pivotArea dataOnly="0" labelOnly="1" fieldPosition="0">
        <references count="3">
          <reference field="1" count="1">
            <x v="3"/>
          </reference>
          <reference field="5" count="1" selected="0">
            <x v="39"/>
          </reference>
          <reference field="6" count="1" selected="0">
            <x v="4"/>
          </reference>
        </references>
      </pivotArea>
    </format>
    <format dxfId="507">
      <pivotArea dataOnly="0" labelOnly="1" fieldPosition="0">
        <references count="3">
          <reference field="1" count="1">
            <x v="4"/>
          </reference>
          <reference field="5" count="1" selected="0">
            <x v="24"/>
          </reference>
          <reference field="6" count="1" selected="0">
            <x v="5"/>
          </reference>
        </references>
      </pivotArea>
    </format>
    <format dxfId="508">
      <pivotArea dataOnly="0" labelOnly="1" fieldPosition="0">
        <references count="3">
          <reference field="1" count="1">
            <x v="3"/>
          </reference>
          <reference field="5" count="1" selected="0">
            <x v="36"/>
          </reference>
          <reference field="6" count="1" selected="0">
            <x v="5"/>
          </reference>
        </references>
      </pivotArea>
    </format>
    <format dxfId="509">
      <pivotArea dataOnly="0" labelOnly="1" fieldPosition="0">
        <references count="3">
          <reference field="1" count="1">
            <x v="3"/>
          </reference>
          <reference field="5" count="1" selected="0">
            <x v="37"/>
          </reference>
          <reference field="6" count="1" selected="0">
            <x v="5"/>
          </reference>
        </references>
      </pivotArea>
    </format>
    <format dxfId="510">
      <pivotArea dataOnly="0" labelOnly="1" fieldPosition="0">
        <references count="3">
          <reference field="1" count="1">
            <x v="1"/>
          </reference>
          <reference field="5" count="1" selected="0">
            <x v="16"/>
          </reference>
          <reference field="6" count="1" selected="0">
            <x v="6"/>
          </reference>
        </references>
      </pivotArea>
    </format>
    <format dxfId="511">
      <pivotArea dataOnly="0" labelOnly="1" fieldPosition="0">
        <references count="3">
          <reference field="1" count="1">
            <x v="2"/>
          </reference>
          <reference field="5" count="1" selected="0">
            <x v="28"/>
          </reference>
          <reference field="6" count="1" selected="0">
            <x v="7"/>
          </reference>
        </references>
      </pivotArea>
    </format>
    <format dxfId="512">
      <pivotArea dataOnly="0" labelOnly="1" fieldPosition="0">
        <references count="3">
          <reference field="1" count="1">
            <x v="3"/>
          </reference>
          <reference field="5" count="1" selected="0">
            <x v="9"/>
          </reference>
          <reference field="6" count="1" selected="0">
            <x v="8"/>
          </reference>
        </references>
      </pivotArea>
    </format>
    <format dxfId="513">
      <pivotArea dataOnly="0" labelOnly="1" fieldPosition="0">
        <references count="3">
          <reference field="1" count="1">
            <x v="3"/>
          </reference>
          <reference field="5" count="1" selected="0">
            <x v="38"/>
          </reference>
          <reference field="6" count="1" selected="0">
            <x v="8"/>
          </reference>
        </references>
      </pivotArea>
    </format>
    <format dxfId="514">
      <pivotArea dataOnly="0" labelOnly="1" fieldPosition="0">
        <references count="3">
          <reference field="1" count="1">
            <x v="3"/>
          </reference>
          <reference field="5" count="1" selected="0">
            <x v="30"/>
          </reference>
          <reference field="6" count="1" selected="0">
            <x v="9"/>
          </reference>
        </references>
      </pivotArea>
    </format>
    <format dxfId="515">
      <pivotArea dataOnly="0" labelOnly="1" fieldPosition="0">
        <references count="3">
          <reference field="1" count="1">
            <x v="3"/>
          </reference>
          <reference field="5" count="1" selected="0">
            <x v="31"/>
          </reference>
          <reference field="6" count="1" selected="0">
            <x v="9"/>
          </reference>
        </references>
      </pivotArea>
    </format>
    <format dxfId="516">
      <pivotArea dataOnly="0" labelOnly="1" fieldPosition="0">
        <references count="3">
          <reference field="1" count="1">
            <x v="3"/>
          </reference>
          <reference field="5" count="1" selected="0">
            <x v="32"/>
          </reference>
          <reference field="6" count="1" selected="0">
            <x v="9"/>
          </reference>
        </references>
      </pivotArea>
    </format>
    <format dxfId="517">
      <pivotArea dataOnly="0" labelOnly="1" fieldPosition="0">
        <references count="3">
          <reference field="1" count="1">
            <x v="3"/>
          </reference>
          <reference field="5" count="1" selected="0">
            <x v="33"/>
          </reference>
          <reference field="6" count="1" selected="0">
            <x v="9"/>
          </reference>
        </references>
      </pivotArea>
    </format>
    <format dxfId="518">
      <pivotArea dataOnly="0" labelOnly="1" fieldPosition="0">
        <references count="3">
          <reference field="1" count="1">
            <x v="3"/>
          </reference>
          <reference field="5" count="1" selected="0">
            <x v="34"/>
          </reference>
          <reference field="6" count="1" selected="0">
            <x v="9"/>
          </reference>
        </references>
      </pivotArea>
    </format>
    <format dxfId="519">
      <pivotArea dataOnly="0" labelOnly="1" fieldPosition="0">
        <references count="3">
          <reference field="1" count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520">
      <pivotArea dataOnly="0" labelOnly="1" fieldPosition="0">
        <references count="3">
          <reference field="1" count="1">
            <x v="3"/>
          </reference>
          <reference field="5" count="1" selected="0">
            <x v="5"/>
          </reference>
          <reference field="6" count="1" selected="0">
            <x v="10"/>
          </reference>
        </references>
      </pivotArea>
    </format>
    <format dxfId="521">
      <pivotArea dataOnly="0" labelOnly="1" fieldPosition="0">
        <references count="3">
          <reference field="1" count="1">
            <x v="3"/>
          </reference>
          <reference field="5" count="1" selected="0">
            <x v="15"/>
          </reference>
          <reference field="6" count="1" selected="0">
            <x v="10"/>
          </reference>
        </references>
      </pivotArea>
    </format>
    <format dxfId="522">
      <pivotArea dataOnly="0" labelOnly="1" fieldPosition="0">
        <references count="3">
          <reference field="1" count="1">
            <x v="3"/>
          </reference>
          <reference field="5" count="1" selected="0">
            <x v="17"/>
          </reference>
          <reference field="6" count="1" selected="0">
            <x v="10"/>
          </reference>
        </references>
      </pivotArea>
    </format>
    <format dxfId="523">
      <pivotArea dataOnly="0" labelOnly="1" fieldPosition="0">
        <references count="3">
          <reference field="1" count="1">
            <x v="3"/>
          </reference>
          <reference field="5" count="1" selected="0">
            <x v="18"/>
          </reference>
          <reference field="6" count="1" selected="0">
            <x v="10"/>
          </reference>
        </references>
      </pivotArea>
    </format>
    <format dxfId="524">
      <pivotArea dataOnly="0" labelOnly="1" fieldPosition="0">
        <references count="3">
          <reference field="1" count="1">
            <x v="3"/>
          </reference>
          <reference field="5" count="1" selected="0">
            <x v="22"/>
          </reference>
          <reference field="6" count="1" selected="0">
            <x v="10"/>
          </reference>
        </references>
      </pivotArea>
    </format>
    <format dxfId="525">
      <pivotArea dataOnly="0" labelOnly="1" fieldPosition="0">
        <references count="3">
          <reference field="1" count="2">
            <x v="0"/>
            <x v="3"/>
          </reference>
          <reference field="5" count="1" selected="0">
            <x v="26"/>
          </reference>
          <reference field="6" count="1" selected="0">
            <x v="10"/>
          </reference>
        </references>
      </pivotArea>
    </format>
    <format dxfId="526">
      <pivotArea dataOnly="0" labelOnly="1" fieldPosition="0">
        <references count="3">
          <reference field="1" count="1">
            <x v="3"/>
          </reference>
          <reference field="5" count="1" selected="0">
            <x v="27"/>
          </reference>
          <reference field="6" count="1" selected="0">
            <x v="10"/>
          </reference>
        </references>
      </pivotArea>
    </format>
    <format dxfId="527">
      <pivotArea dataOnly="0" labelOnly="1" fieldPosition="0">
        <references count="3">
          <reference field="1" count="1">
            <x v="1"/>
          </reference>
          <reference field="5" count="1" selected="0">
            <x v="40"/>
          </reference>
          <reference field="6" count="1" selected="0">
            <x v="10"/>
          </reference>
        </references>
      </pivotArea>
    </format>
    <format dxfId="528">
      <pivotArea dataOnly="0" labelOnly="1" fieldPosition="0">
        <references count="3">
          <reference field="1" count="1">
            <x v="3"/>
          </reference>
          <reference field="5" count="1" selected="0">
            <x v="6"/>
          </reference>
          <reference field="6" count="1" selected="0">
            <x v="11"/>
          </reference>
        </references>
      </pivotArea>
    </format>
    <format dxfId="529">
      <pivotArea dataOnly="0" labelOnly="1" fieldPosition="0">
        <references count="3">
          <reference field="1" count="1">
            <x v="3"/>
          </reference>
          <reference field="5" count="1" selected="0">
            <x v="10"/>
          </reference>
          <reference field="6" count="1" selected="0">
            <x v="11"/>
          </reference>
        </references>
      </pivotArea>
    </format>
    <format dxfId="530">
      <pivotArea dataOnly="0" labelOnly="1" fieldPosition="0">
        <references count="3">
          <reference field="1" count="1">
            <x v="3"/>
          </reference>
          <reference field="5" count="1" selected="0">
            <x v="4"/>
          </reference>
          <reference field="6" count="1" selected="0">
            <x v="12"/>
          </reference>
        </references>
      </pivotArea>
    </format>
    <format dxfId="5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32">
      <pivotArea type="all" dataOnly="0" outline="0" fieldPosition="0"/>
    </format>
    <format dxfId="533">
      <pivotArea outline="0" collapsedLevelsAreSubtotals="1" fieldPosition="0"/>
    </format>
    <format dxfId="534">
      <pivotArea field="6" type="button" dataOnly="0" labelOnly="1" outline="0" axis="axisRow" fieldPosition="0"/>
    </format>
    <format dxfId="535">
      <pivotArea field="5" type="button" dataOnly="0" labelOnly="1" outline="0" axis="axisRow" fieldPosition="1"/>
    </format>
    <format dxfId="536">
      <pivotArea field="1" type="button" dataOnly="0" labelOnly="1" outline="0" axis="axisRow" fieldPosition="2"/>
    </format>
    <format dxfId="537">
      <pivotArea dataOnly="0" labelOnly="1" fieldPosition="0">
        <references count="1">
          <reference field="6" count="0"/>
        </references>
      </pivotArea>
    </format>
    <format dxfId="538">
      <pivotArea dataOnly="0" labelOnly="1" grandRow="1" outline="0" fieldPosition="0"/>
    </format>
    <format dxfId="539">
      <pivotArea dataOnly="0" labelOnly="1" fieldPosition="0">
        <references count="2">
          <reference field="5" count="2">
            <x v="14"/>
            <x v="20"/>
          </reference>
          <reference field="6" count="1" selected="0">
            <x v="0"/>
          </reference>
        </references>
      </pivotArea>
    </format>
    <format dxfId="540">
      <pivotArea dataOnly="0" labelOnly="1" fieldPosition="0">
        <references count="2">
          <reference field="5" count="1">
            <x v="7"/>
          </reference>
          <reference field="6" count="1" selected="0">
            <x v="1"/>
          </reference>
        </references>
      </pivotArea>
    </format>
    <format dxfId="541">
      <pivotArea dataOnly="0" labelOnly="1" fieldPosition="0">
        <references count="2">
          <reference field="5" count="1">
            <x v="23"/>
          </reference>
          <reference field="6" count="1" selected="0">
            <x v="2"/>
          </reference>
        </references>
      </pivotArea>
    </format>
    <format dxfId="542">
      <pivotArea dataOnly="0" labelOnly="1" fieldPosition="0">
        <references count="2">
          <reference field="5" count="2">
            <x v="19"/>
            <x v="21"/>
          </reference>
          <reference field="6" count="1" selected="0">
            <x v="3"/>
          </reference>
        </references>
      </pivotArea>
    </format>
    <format dxfId="543">
      <pivotArea dataOnly="0" labelOnly="1" fieldPosition="0">
        <references count="2">
          <reference field="5" count="11">
            <x v="0"/>
            <x v="1"/>
            <x v="2"/>
            <x v="3"/>
            <x v="8"/>
            <x v="11"/>
            <x v="12"/>
            <x v="13"/>
            <x v="25"/>
            <x v="29"/>
            <x v="39"/>
          </reference>
          <reference field="6" count="1" selected="0">
            <x v="4"/>
          </reference>
        </references>
      </pivotArea>
    </format>
    <format dxfId="544">
      <pivotArea dataOnly="0" labelOnly="1" fieldPosition="0">
        <references count="2">
          <reference field="5" count="3">
            <x v="24"/>
            <x v="36"/>
            <x v="37"/>
          </reference>
          <reference field="6" count="1" selected="0">
            <x v="5"/>
          </reference>
        </references>
      </pivotArea>
    </format>
    <format dxfId="545">
      <pivotArea dataOnly="0" labelOnly="1" fieldPosition="0">
        <references count="2">
          <reference field="5" count="1">
            <x v="16"/>
          </reference>
          <reference field="6" count="1" selected="0">
            <x v="6"/>
          </reference>
        </references>
      </pivotArea>
    </format>
    <format dxfId="546">
      <pivotArea dataOnly="0" labelOnly="1" fieldPosition="0">
        <references count="2">
          <reference field="5" count="1">
            <x v="28"/>
          </reference>
          <reference field="6" count="1" selected="0">
            <x v="7"/>
          </reference>
        </references>
      </pivotArea>
    </format>
    <format dxfId="547">
      <pivotArea dataOnly="0" labelOnly="1" fieldPosition="0">
        <references count="2">
          <reference field="5" count="2">
            <x v="9"/>
            <x v="38"/>
          </reference>
          <reference field="6" count="1" selected="0">
            <x v="8"/>
          </reference>
        </references>
      </pivotArea>
    </format>
    <format dxfId="548">
      <pivotArea dataOnly="0" labelOnly="1" fieldPosition="0">
        <references count="2">
          <reference field="5" count="6">
            <x v="30"/>
            <x v="31"/>
            <x v="32"/>
            <x v="33"/>
            <x v="34"/>
            <x v="35"/>
          </reference>
          <reference field="6" count="1" selected="0">
            <x v="9"/>
          </reference>
        </references>
      </pivotArea>
    </format>
    <format dxfId="549">
      <pivotArea dataOnly="0" labelOnly="1" fieldPosition="0">
        <references count="2">
          <reference field="5" count="8">
            <x v="5"/>
            <x v="15"/>
            <x v="17"/>
            <x v="18"/>
            <x v="22"/>
            <x v="26"/>
            <x v="27"/>
            <x v="40"/>
          </reference>
          <reference field="6" count="1" selected="0">
            <x v="10"/>
          </reference>
        </references>
      </pivotArea>
    </format>
    <format dxfId="550">
      <pivotArea dataOnly="0" labelOnly="1" fieldPosition="0">
        <references count="2">
          <reference field="5" count="2">
            <x v="6"/>
            <x v="10"/>
          </reference>
          <reference field="6" count="1" selected="0">
            <x v="11"/>
          </reference>
        </references>
      </pivotArea>
    </format>
    <format dxfId="551">
      <pivotArea dataOnly="0" labelOnly="1" fieldPosition="0">
        <references count="2">
          <reference field="5" count="1">
            <x v="4"/>
          </reference>
          <reference field="6" count="1" selected="0">
            <x v="12"/>
          </reference>
        </references>
      </pivotArea>
    </format>
    <format dxfId="552">
      <pivotArea dataOnly="0" labelOnly="1" fieldPosition="0">
        <references count="3">
          <reference field="1" count="1">
            <x v="3"/>
          </reference>
          <reference field="5" count="1" selected="0">
            <x v="14"/>
          </reference>
          <reference field="6" count="1" selected="0">
            <x v="0"/>
          </reference>
        </references>
      </pivotArea>
    </format>
    <format dxfId="553">
      <pivotArea dataOnly="0" labelOnly="1" fieldPosition="0">
        <references count="3">
          <reference field="1" count="1">
            <x v="3"/>
          </reference>
          <reference field="5" count="1" selected="0">
            <x v="20"/>
          </reference>
          <reference field="6" count="1" selected="0">
            <x v="0"/>
          </reference>
        </references>
      </pivotArea>
    </format>
    <format dxfId="554">
      <pivotArea dataOnly="0" labelOnly="1" fieldPosition="0">
        <references count="3">
          <reference field="1" count="1">
            <x v="3"/>
          </reference>
          <reference field="5" count="1" selected="0">
            <x v="7"/>
          </reference>
          <reference field="6" count="1" selected="0">
            <x v="1"/>
          </reference>
        </references>
      </pivotArea>
    </format>
    <format dxfId="555">
      <pivotArea dataOnly="0" labelOnly="1" fieldPosition="0">
        <references count="3">
          <reference field="1" count="1">
            <x v="3"/>
          </reference>
          <reference field="5" count="1" selected="0">
            <x v="23"/>
          </reference>
          <reference field="6" count="1" selected="0">
            <x v="2"/>
          </reference>
        </references>
      </pivotArea>
    </format>
    <format dxfId="556">
      <pivotArea dataOnly="0" labelOnly="1" fieldPosition="0">
        <references count="3">
          <reference field="1" count="1">
            <x v="3"/>
          </reference>
          <reference field="5" count="1" selected="0">
            <x v="19"/>
          </reference>
          <reference field="6" count="1" selected="0">
            <x v="3"/>
          </reference>
        </references>
      </pivotArea>
    </format>
    <format dxfId="557">
      <pivotArea dataOnly="0" labelOnly="1" fieldPosition="0">
        <references count="3">
          <reference field="1" count="1">
            <x v="3"/>
          </reference>
          <reference field="5" count="1" selected="0">
            <x v="21"/>
          </reference>
          <reference field="6" count="1" selected="0">
            <x v="3"/>
          </reference>
        </references>
      </pivotArea>
    </format>
    <format dxfId="558">
      <pivotArea dataOnly="0" labelOnly="1" fieldPosition="0">
        <references count="3">
          <reference field="1" count="1">
            <x v="5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559">
      <pivotArea dataOnly="0" labelOnly="1" fieldPosition="0">
        <references count="3">
          <reference field="1" count="1">
            <x v="3"/>
          </reference>
          <reference field="5" count="1" selected="0">
            <x v="1"/>
          </reference>
          <reference field="6" count="1" selected="0">
            <x v="4"/>
          </reference>
        </references>
      </pivotArea>
    </format>
    <format dxfId="560">
      <pivotArea dataOnly="0" labelOnly="1" fieldPosition="0">
        <references count="3">
          <reference field="1" count="1">
            <x v="3"/>
          </reference>
          <reference field="5" count="1" selected="0">
            <x v="2"/>
          </reference>
          <reference field="6" count="1" selected="0">
            <x v="4"/>
          </reference>
        </references>
      </pivotArea>
    </format>
    <format dxfId="561">
      <pivotArea dataOnly="0" labelOnly="1" fieldPosition="0">
        <references count="3">
          <reference field="1" count="1">
            <x v="3"/>
          </reference>
          <reference field="5" count="1" selected="0">
            <x v="3"/>
          </reference>
          <reference field="6" count="1" selected="0">
            <x v="4"/>
          </reference>
        </references>
      </pivotArea>
    </format>
    <format dxfId="562">
      <pivotArea dataOnly="0" labelOnly="1" fieldPosition="0">
        <references count="3">
          <reference field="1" count="1">
            <x v="3"/>
          </reference>
          <reference field="5" count="1" selected="0">
            <x v="8"/>
          </reference>
          <reference field="6" count="1" selected="0">
            <x v="4"/>
          </reference>
        </references>
      </pivotArea>
    </format>
    <format dxfId="563">
      <pivotArea dataOnly="0" labelOnly="1" fieldPosition="0">
        <references count="3">
          <reference field="1" count="1">
            <x v="3"/>
          </reference>
          <reference field="5" count="1" selected="0">
            <x v="11"/>
          </reference>
          <reference field="6" count="1" selected="0">
            <x v="4"/>
          </reference>
        </references>
      </pivotArea>
    </format>
    <format dxfId="564">
      <pivotArea dataOnly="0" labelOnly="1" fieldPosition="0">
        <references count="3">
          <reference field="1" count="1">
            <x v="3"/>
          </reference>
          <reference field="5" count="1" selected="0">
            <x v="12"/>
          </reference>
          <reference field="6" count="1" selected="0">
            <x v="4"/>
          </reference>
        </references>
      </pivotArea>
    </format>
    <format dxfId="565">
      <pivotArea dataOnly="0" labelOnly="1" fieldPosition="0">
        <references count="3">
          <reference field="1" count="1">
            <x v="3"/>
          </reference>
          <reference field="5" count="1" selected="0">
            <x v="13"/>
          </reference>
          <reference field="6" count="1" selected="0">
            <x v="4"/>
          </reference>
        </references>
      </pivotArea>
    </format>
    <format dxfId="566">
      <pivotArea dataOnly="0" labelOnly="1" fieldPosition="0">
        <references count="3">
          <reference field="1" count="1">
            <x v="3"/>
          </reference>
          <reference field="5" count="1" selected="0">
            <x v="25"/>
          </reference>
          <reference field="6" count="1" selected="0">
            <x v="4"/>
          </reference>
        </references>
      </pivotArea>
    </format>
    <format dxfId="567">
      <pivotArea dataOnly="0" labelOnly="1" fieldPosition="0">
        <references count="3">
          <reference field="1" count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568">
      <pivotArea dataOnly="0" labelOnly="1" fieldPosition="0">
        <references count="3">
          <reference field="1" count="1">
            <x v="3"/>
          </reference>
          <reference field="5" count="1" selected="0">
            <x v="39"/>
          </reference>
          <reference field="6" count="1" selected="0">
            <x v="4"/>
          </reference>
        </references>
      </pivotArea>
    </format>
    <format dxfId="569">
      <pivotArea dataOnly="0" labelOnly="1" fieldPosition="0">
        <references count="3">
          <reference field="1" count="1">
            <x v="4"/>
          </reference>
          <reference field="5" count="1" selected="0">
            <x v="24"/>
          </reference>
          <reference field="6" count="1" selected="0">
            <x v="5"/>
          </reference>
        </references>
      </pivotArea>
    </format>
    <format dxfId="570">
      <pivotArea dataOnly="0" labelOnly="1" fieldPosition="0">
        <references count="3">
          <reference field="1" count="1">
            <x v="3"/>
          </reference>
          <reference field="5" count="1" selected="0">
            <x v="36"/>
          </reference>
          <reference field="6" count="1" selected="0">
            <x v="5"/>
          </reference>
        </references>
      </pivotArea>
    </format>
    <format dxfId="571">
      <pivotArea dataOnly="0" labelOnly="1" fieldPosition="0">
        <references count="3">
          <reference field="1" count="1">
            <x v="3"/>
          </reference>
          <reference field="5" count="1" selected="0">
            <x v="37"/>
          </reference>
          <reference field="6" count="1" selected="0">
            <x v="5"/>
          </reference>
        </references>
      </pivotArea>
    </format>
    <format dxfId="572">
      <pivotArea dataOnly="0" labelOnly="1" fieldPosition="0">
        <references count="3">
          <reference field="1" count="1">
            <x v="1"/>
          </reference>
          <reference field="5" count="1" selected="0">
            <x v="16"/>
          </reference>
          <reference field="6" count="1" selected="0">
            <x v="6"/>
          </reference>
        </references>
      </pivotArea>
    </format>
    <format dxfId="573">
      <pivotArea dataOnly="0" labelOnly="1" fieldPosition="0">
        <references count="3">
          <reference field="1" count="1">
            <x v="2"/>
          </reference>
          <reference field="5" count="1" selected="0">
            <x v="28"/>
          </reference>
          <reference field="6" count="1" selected="0">
            <x v="7"/>
          </reference>
        </references>
      </pivotArea>
    </format>
    <format dxfId="574">
      <pivotArea dataOnly="0" labelOnly="1" fieldPosition="0">
        <references count="3">
          <reference field="1" count="1">
            <x v="3"/>
          </reference>
          <reference field="5" count="1" selected="0">
            <x v="9"/>
          </reference>
          <reference field="6" count="1" selected="0">
            <x v="8"/>
          </reference>
        </references>
      </pivotArea>
    </format>
    <format dxfId="575">
      <pivotArea dataOnly="0" labelOnly="1" fieldPosition="0">
        <references count="3">
          <reference field="1" count="1">
            <x v="3"/>
          </reference>
          <reference field="5" count="1" selected="0">
            <x v="38"/>
          </reference>
          <reference field="6" count="1" selected="0">
            <x v="8"/>
          </reference>
        </references>
      </pivotArea>
    </format>
    <format dxfId="576">
      <pivotArea dataOnly="0" labelOnly="1" fieldPosition="0">
        <references count="3">
          <reference field="1" count="1">
            <x v="3"/>
          </reference>
          <reference field="5" count="1" selected="0">
            <x v="30"/>
          </reference>
          <reference field="6" count="1" selected="0">
            <x v="9"/>
          </reference>
        </references>
      </pivotArea>
    </format>
    <format dxfId="577">
      <pivotArea dataOnly="0" labelOnly="1" fieldPosition="0">
        <references count="3">
          <reference field="1" count="1">
            <x v="3"/>
          </reference>
          <reference field="5" count="1" selected="0">
            <x v="31"/>
          </reference>
          <reference field="6" count="1" selected="0">
            <x v="9"/>
          </reference>
        </references>
      </pivotArea>
    </format>
    <format dxfId="578">
      <pivotArea dataOnly="0" labelOnly="1" fieldPosition="0">
        <references count="3">
          <reference field="1" count="1">
            <x v="3"/>
          </reference>
          <reference field="5" count="1" selected="0">
            <x v="32"/>
          </reference>
          <reference field="6" count="1" selected="0">
            <x v="9"/>
          </reference>
        </references>
      </pivotArea>
    </format>
    <format dxfId="579">
      <pivotArea dataOnly="0" labelOnly="1" fieldPosition="0">
        <references count="3">
          <reference field="1" count="1">
            <x v="3"/>
          </reference>
          <reference field="5" count="1" selected="0">
            <x v="33"/>
          </reference>
          <reference field="6" count="1" selected="0">
            <x v="9"/>
          </reference>
        </references>
      </pivotArea>
    </format>
    <format dxfId="580">
      <pivotArea dataOnly="0" labelOnly="1" fieldPosition="0">
        <references count="3">
          <reference field="1" count="1">
            <x v="3"/>
          </reference>
          <reference field="5" count="1" selected="0">
            <x v="34"/>
          </reference>
          <reference field="6" count="1" selected="0">
            <x v="9"/>
          </reference>
        </references>
      </pivotArea>
    </format>
    <format dxfId="581">
      <pivotArea dataOnly="0" labelOnly="1" fieldPosition="0">
        <references count="3">
          <reference field="1" count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582">
      <pivotArea dataOnly="0" labelOnly="1" fieldPosition="0">
        <references count="3">
          <reference field="1" count="1">
            <x v="3"/>
          </reference>
          <reference field="5" count="1" selected="0">
            <x v="5"/>
          </reference>
          <reference field="6" count="1" selected="0">
            <x v="10"/>
          </reference>
        </references>
      </pivotArea>
    </format>
    <format dxfId="583">
      <pivotArea dataOnly="0" labelOnly="1" fieldPosition="0">
        <references count="3">
          <reference field="1" count="1">
            <x v="3"/>
          </reference>
          <reference field="5" count="1" selected="0">
            <x v="15"/>
          </reference>
          <reference field="6" count="1" selected="0">
            <x v="10"/>
          </reference>
        </references>
      </pivotArea>
    </format>
    <format dxfId="584">
      <pivotArea dataOnly="0" labelOnly="1" fieldPosition="0">
        <references count="3">
          <reference field="1" count="1">
            <x v="3"/>
          </reference>
          <reference field="5" count="1" selected="0">
            <x v="17"/>
          </reference>
          <reference field="6" count="1" selected="0">
            <x v="10"/>
          </reference>
        </references>
      </pivotArea>
    </format>
    <format dxfId="585">
      <pivotArea dataOnly="0" labelOnly="1" fieldPosition="0">
        <references count="3">
          <reference field="1" count="1">
            <x v="3"/>
          </reference>
          <reference field="5" count="1" selected="0">
            <x v="18"/>
          </reference>
          <reference field="6" count="1" selected="0">
            <x v="10"/>
          </reference>
        </references>
      </pivotArea>
    </format>
    <format dxfId="586">
      <pivotArea dataOnly="0" labelOnly="1" fieldPosition="0">
        <references count="3">
          <reference field="1" count="1">
            <x v="3"/>
          </reference>
          <reference field="5" count="1" selected="0">
            <x v="22"/>
          </reference>
          <reference field="6" count="1" selected="0">
            <x v="10"/>
          </reference>
        </references>
      </pivotArea>
    </format>
    <format dxfId="587">
      <pivotArea dataOnly="0" labelOnly="1" fieldPosition="0">
        <references count="3">
          <reference field="1" count="2">
            <x v="0"/>
            <x v="3"/>
          </reference>
          <reference field="5" count="1" selected="0">
            <x v="26"/>
          </reference>
          <reference field="6" count="1" selected="0">
            <x v="10"/>
          </reference>
        </references>
      </pivotArea>
    </format>
    <format dxfId="588">
      <pivotArea dataOnly="0" labelOnly="1" fieldPosition="0">
        <references count="3">
          <reference field="1" count="1">
            <x v="3"/>
          </reference>
          <reference field="5" count="1" selected="0">
            <x v="27"/>
          </reference>
          <reference field="6" count="1" selected="0">
            <x v="10"/>
          </reference>
        </references>
      </pivotArea>
    </format>
    <format dxfId="589">
      <pivotArea dataOnly="0" labelOnly="1" fieldPosition="0">
        <references count="3">
          <reference field="1" count="1">
            <x v="1"/>
          </reference>
          <reference field="5" count="1" selected="0">
            <x v="40"/>
          </reference>
          <reference field="6" count="1" selected="0">
            <x v="10"/>
          </reference>
        </references>
      </pivotArea>
    </format>
    <format dxfId="590">
      <pivotArea dataOnly="0" labelOnly="1" fieldPosition="0">
        <references count="3">
          <reference field="1" count="1">
            <x v="3"/>
          </reference>
          <reference field="5" count="1" selected="0">
            <x v="6"/>
          </reference>
          <reference field="6" count="1" selected="0">
            <x v="11"/>
          </reference>
        </references>
      </pivotArea>
    </format>
    <format dxfId="591">
      <pivotArea dataOnly="0" labelOnly="1" fieldPosition="0">
        <references count="3">
          <reference field="1" count="1">
            <x v="3"/>
          </reference>
          <reference field="5" count="1" selected="0">
            <x v="10"/>
          </reference>
          <reference field="6" count="1" selected="0">
            <x v="11"/>
          </reference>
        </references>
      </pivotArea>
    </format>
    <format dxfId="592">
      <pivotArea dataOnly="0" labelOnly="1" fieldPosition="0">
        <references count="3">
          <reference field="1" count="1">
            <x v="3"/>
          </reference>
          <reference field="5" count="1" selected="0">
            <x v="4"/>
          </reference>
          <reference field="6" count="1" selected="0">
            <x v="12"/>
          </reference>
        </references>
      </pivotArea>
    </format>
    <format dxfId="59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Tabela Dinâmica Padrão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DE8F01-87C8-4743-8AD8-27A84E352277}" name="TabelaMucambo" displayName="TabelaMucambo" ref="A5:G432" totalsRowShown="0" headerRowDxfId="1431">
  <autoFilter ref="A5:G432" xr:uid="{2ADE8F01-87C8-4743-8AD8-27A84E352277}"/>
  <sortState xmlns:xlrd2="http://schemas.microsoft.com/office/spreadsheetml/2017/richdata2" ref="A6:G432">
    <sortCondition ref="A5:A432"/>
  </sortState>
  <tableColumns count="7">
    <tableColumn id="1" xr3:uid="{A910D538-8D3C-4194-B45E-112980A9AEE1}" name="Código+Produto" dataDxfId="1430"/>
    <tableColumn id="2" xr3:uid="{15CCD396-BAE6-4744-B824-E6E5CF37FFAA}" name="UN" dataDxfId="1429"/>
    <tableColumn id="3" xr3:uid="{B41FD5FF-7B64-471F-BB28-075A16ED82D7}" name="Qtde" dataDxfId="1428"/>
    <tableColumn id="4" xr3:uid="{8FDB4A93-7945-43AF-87C6-88CBA3F890C1}" name="Vl. Unitário" dataDxfId="1427" dataCellStyle="Moeda"/>
    <tableColumn id="5" xr3:uid="{336839D2-2FE5-411B-AA3B-FAC49A2B35B3}" name="Vl. Total" dataDxfId="1426" dataCellStyle="Moeda">
      <calculatedColumnFormula>TabelaMucambo[[#This Row],[Qtde]]*TabelaMucambo[[#This Row],[Vl. Unitário]]</calculatedColumnFormula>
    </tableColumn>
    <tableColumn id="7" xr3:uid="{50F1262B-5A91-4F79-A06C-68615DD5240D}" name="Produto" dataDxfId="1425" dataCellStyle="Moeda">
      <calculatedColumnFormula>VLOOKUP(TabelaMucambo[[#This Row],[Código+Produto]],Base!A:C,3,0)</calculatedColumnFormula>
    </tableColumn>
    <tableColumn id="6" xr3:uid="{54FE21CB-2A6A-433C-8327-2AECEE7A7AA3}" name="Grupo" dataDxfId="1424">
      <calculatedColumnFormula>VLOOKUP(A6,Base!A:D,4,0)</calculatedColumnFormula>
    </tableColumn>
  </tableColumns>
  <tableStyleInfo name="Tabela Padrão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8B4F9-B1C4-4116-A281-4F143D180CE4}" name="TabelaFrecheirinha" displayName="TabelaFrecheirinha" ref="A5:G352" totalsRowShown="0" headerRowDxfId="1423">
  <autoFilter ref="A5:G352" xr:uid="{16F8B4F9-B1C4-4116-A281-4F143D180CE4}"/>
  <sortState xmlns:xlrd2="http://schemas.microsoft.com/office/spreadsheetml/2017/richdata2" ref="A6:G352">
    <sortCondition ref="A5:A352"/>
  </sortState>
  <tableColumns count="7">
    <tableColumn id="1" xr3:uid="{466C659B-C045-42E8-8F91-CBA896E91176}" name="Código+Produto" dataDxfId="1422"/>
    <tableColumn id="2" xr3:uid="{5568C53E-5CDB-42C0-9A49-FFBE950D0082}" name="UN" dataDxfId="1421"/>
    <tableColumn id="3" xr3:uid="{1AF563F6-A799-456F-BE24-F111624BA9E1}" name="Qtde" dataDxfId="1420"/>
    <tableColumn id="4" xr3:uid="{923675D7-B81C-4FA3-96A9-E1C92E3C5705}" name="Vl. Unitário" dataDxfId="1419" dataCellStyle="Moeda"/>
    <tableColumn id="5" xr3:uid="{D3CF0D56-A495-442E-8468-FC01573DCC10}" name="Vl. Total" dataDxfId="1418" dataCellStyle="Moeda">
      <calculatedColumnFormula>TabelaFrecheirinha[[#This Row],[Qtde]]*TabelaFrecheirinha[[#This Row],[Vl. Unitário]]</calculatedColumnFormula>
    </tableColumn>
    <tableColumn id="7" xr3:uid="{EDAD7A8E-6322-4BC2-820B-E9BA11817565}" name="Produto" dataDxfId="1417" dataCellStyle="Moeda">
      <calculatedColumnFormula>VLOOKUP(TabelaFrecheirinha[[#This Row],[Código+Produto]],Base!A:C,3,0)</calculatedColumnFormula>
    </tableColumn>
    <tableColumn id="6" xr3:uid="{9B750A08-EB12-4A31-A1A4-A72F8EB998F2}" name="Grupo" dataDxfId="1416">
      <calculatedColumnFormula>VLOOKUP(A6,Base!A:D,4,0)</calculatedColumnFormula>
    </tableColumn>
  </tableColumns>
  <tableStyleInfo name="Tabela Padrão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A12D2C-F345-4F59-808B-73FEE752A54A}" name="TabelaTianguá" displayName="TabelaTianguá" ref="A5:G353" totalsRowShown="0" headerRowDxfId="1439">
  <autoFilter ref="A5:G353" xr:uid="{03A12D2C-F345-4F59-808B-73FEE752A54A}"/>
  <sortState xmlns:xlrd2="http://schemas.microsoft.com/office/spreadsheetml/2017/richdata2" ref="A6:G353">
    <sortCondition ref="A5:A353"/>
  </sortState>
  <tableColumns count="7">
    <tableColumn id="1" xr3:uid="{C9953497-1042-4412-8789-0DF51B5EDCA4}" name="Código+Produto" dataDxfId="1438"/>
    <tableColumn id="2" xr3:uid="{AAC5851C-329B-47AD-A080-A282EFCFAA63}" name="UN" dataDxfId="1437"/>
    <tableColumn id="3" xr3:uid="{163CCDB9-4833-4FA7-A8F6-BF53E287F7C6}" name="Qtde" dataDxfId="1436"/>
    <tableColumn id="4" xr3:uid="{DF7E2409-16BF-445C-8F23-F6E3C991631D}" name="Vl. Unitário" dataDxfId="1435" dataCellStyle="Moeda"/>
    <tableColumn id="5" xr3:uid="{67D96396-E914-4051-8A60-9FE99F9BBBBA}" name="Vl. Total" dataDxfId="1434" dataCellStyle="Moeda">
      <calculatedColumnFormula>TabelaTianguá[[#This Row],[Qtde]]*TabelaTianguá[[#This Row],[Vl. Unitário]]</calculatedColumnFormula>
    </tableColumn>
    <tableColumn id="7" xr3:uid="{5D213835-9E4D-4D48-B8D7-F3055871E1B7}" name="Produto" dataDxfId="1433" dataCellStyle="Moeda">
      <calculatedColumnFormula>VLOOKUP(TabelaTianguá[[#This Row],[Código+Produto]],Base!A:C,3,0)</calculatedColumnFormula>
    </tableColumn>
    <tableColumn id="6" xr3:uid="{C97AEA20-A072-46F5-BF78-BA9D9673F903}" name="Grupo" dataDxfId="1432">
      <calculatedColumnFormula>VLOOKUP(A6,Base!A:D,4,0)</calculatedColumnFormula>
    </tableColumn>
  </tableColumns>
  <tableStyleInfo name="Tabela Padrão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80A97F-AF8E-485B-90FB-1264D8A89ECC}" name="Tabela5" displayName="Tabela5" ref="A1:D1018" totalsRowShown="0" headerRowDxfId="1415" dataDxfId="1414">
  <autoFilter ref="A1:D1018" xr:uid="{3280A97F-AF8E-485B-90FB-1264D8A89ECC}">
    <filterColumn colId="0" hiddenButton="1"/>
    <filterColumn colId="1" hiddenButton="1"/>
    <filterColumn colId="2" hiddenButton="1"/>
    <filterColumn colId="3" hiddenButton="1"/>
  </autoFilter>
  <tableColumns count="4">
    <tableColumn id="1" xr3:uid="{C2A86F08-665C-4A6C-A004-D6937A8BEDEE}" name="Produto" dataDxfId="1413"/>
    <tableColumn id="2" xr3:uid="{50C06B97-B33B-4CC2-83DF-F263A8C63364}" name="Código" dataDxfId="1412"/>
    <tableColumn id="3" xr3:uid="{EA363362-2797-49A7-8523-3340A48B35D1}" name="Descrição" dataDxfId="1411"/>
    <tableColumn id="4" xr3:uid="{F3C10F16-A4B0-42AD-9456-2983ABD5B2A5}" name="Grupo" dataDxfId="1410"/>
  </tableColumns>
  <tableStyleInfo name="Tabela Padrão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C2A4-9397-4288-8AFC-5F5BC37CABBD}">
  <sheetPr>
    <pageSetUpPr fitToPage="1"/>
  </sheetPr>
  <dimension ref="A1:P432"/>
  <sheetViews>
    <sheetView topLeftCell="E1" workbookViewId="0">
      <selection activeCell="I1" sqref="I1:L4"/>
    </sheetView>
  </sheetViews>
  <sheetFormatPr defaultRowHeight="15" x14ac:dyDescent="0.25"/>
  <cols>
    <col min="1" max="1" width="35.28515625" bestFit="1" customWidth="1"/>
    <col min="2" max="2" width="6.42578125" bestFit="1" customWidth="1"/>
    <col min="3" max="3" width="7.5703125" bestFit="1" customWidth="1"/>
    <col min="4" max="4" width="10.85546875" bestFit="1" customWidth="1"/>
    <col min="5" max="5" width="14.28515625" bestFit="1" customWidth="1"/>
    <col min="6" max="6" width="32.85546875" bestFit="1" customWidth="1"/>
    <col min="7" max="7" width="29.42578125" bestFit="1" customWidth="1"/>
    <col min="9" max="9" width="29.42578125" bestFit="1" customWidth="1"/>
    <col min="10" max="10" width="31.42578125" bestFit="1" customWidth="1"/>
    <col min="11" max="11" width="8.28515625" bestFit="1" customWidth="1"/>
    <col min="12" max="12" width="11.42578125" bestFit="1" customWidth="1"/>
    <col min="13" max="14" width="13.28515625" bestFit="1" customWidth="1"/>
  </cols>
  <sheetData>
    <row r="1" spans="1:16" ht="15" customHeight="1" x14ac:dyDescent="0.25">
      <c r="A1" s="11" t="s">
        <v>1192</v>
      </c>
      <c r="B1" s="12"/>
      <c r="C1" s="12"/>
      <c r="D1" s="12"/>
      <c r="E1" s="12"/>
      <c r="F1" s="12"/>
      <c r="G1" s="13"/>
      <c r="I1" s="20" t="s">
        <v>1249</v>
      </c>
      <c r="J1" s="21"/>
      <c r="K1" s="21"/>
      <c r="L1" s="21"/>
      <c r="M1" s="26" t="s">
        <v>1191</v>
      </c>
      <c r="N1" s="27"/>
    </row>
    <row r="2" spans="1:16" ht="15" customHeight="1" x14ac:dyDescent="0.25">
      <c r="A2" s="14"/>
      <c r="B2" s="15"/>
      <c r="C2" s="15"/>
      <c r="D2" s="15"/>
      <c r="E2" s="15"/>
      <c r="F2" s="15"/>
      <c r="G2" s="16"/>
      <c r="I2" s="22"/>
      <c r="J2" s="23"/>
      <c r="K2" s="23"/>
      <c r="L2" s="23"/>
      <c r="M2" s="28"/>
      <c r="N2" s="29"/>
    </row>
    <row r="3" spans="1:16" ht="15" customHeight="1" x14ac:dyDescent="0.25">
      <c r="A3" s="14"/>
      <c r="B3" s="15"/>
      <c r="C3" s="15"/>
      <c r="D3" s="15"/>
      <c r="E3" s="15"/>
      <c r="F3" s="15"/>
      <c r="G3" s="16"/>
      <c r="I3" s="22"/>
      <c r="J3" s="23"/>
      <c r="K3" s="23"/>
      <c r="L3" s="23"/>
      <c r="M3" s="30">
        <f>SUM(N6:N1048576)</f>
        <v>46226.956821999986</v>
      </c>
      <c r="N3" s="31"/>
      <c r="P3">
        <v>41516.245314500004</v>
      </c>
    </row>
    <row r="4" spans="1:16" ht="15" customHeight="1" x14ac:dyDescent="0.25">
      <c r="A4" s="17"/>
      <c r="B4" s="18"/>
      <c r="C4" s="18"/>
      <c r="D4" s="18"/>
      <c r="E4" s="18"/>
      <c r="F4" s="18"/>
      <c r="G4" s="19"/>
      <c r="I4" s="24"/>
      <c r="J4" s="25"/>
      <c r="K4" s="25"/>
      <c r="L4" s="25"/>
      <c r="M4" s="32"/>
      <c r="N4" s="33"/>
    </row>
    <row r="5" spans="1:16" x14ac:dyDescent="0.25">
      <c r="A5" s="1" t="s">
        <v>1186</v>
      </c>
      <c r="B5" s="1" t="s">
        <v>14</v>
      </c>
      <c r="C5" s="1" t="s">
        <v>59</v>
      </c>
      <c r="D5" s="1" t="s">
        <v>60</v>
      </c>
      <c r="E5" s="1" t="s">
        <v>61</v>
      </c>
      <c r="F5" s="1" t="s">
        <v>58</v>
      </c>
      <c r="G5" s="1" t="s">
        <v>1185</v>
      </c>
      <c r="I5" s="4" t="s">
        <v>1187</v>
      </c>
      <c r="J5" s="4" t="s">
        <v>58</v>
      </c>
      <c r="K5" s="4" t="s">
        <v>14</v>
      </c>
      <c r="L5" s="1" t="s">
        <v>1188</v>
      </c>
      <c r="M5" s="1" t="s">
        <v>1189</v>
      </c>
      <c r="N5" s="1" t="s">
        <v>1190</v>
      </c>
    </row>
    <row r="6" spans="1:16" x14ac:dyDescent="0.25">
      <c r="A6" s="1" t="s">
        <v>1221</v>
      </c>
      <c r="B6" s="1" t="s">
        <v>14</v>
      </c>
      <c r="C6" s="3">
        <v>12</v>
      </c>
      <c r="D6" s="2">
        <v>6.6666999999999996</v>
      </c>
      <c r="E6" s="2">
        <f>TabelaMucambo[[#This Row],[Qtde]]*TabelaMucambo[[#This Row],[Vl. Unitário]]</f>
        <v>80.000399999999999</v>
      </c>
      <c r="F6" s="7" t="str">
        <f>VLOOKUP(TabelaMucambo[[#This Row],[Código+Produto]],Base!A:C,3,0)</f>
        <v>CAJUINA SAO GERALDO 1L</v>
      </c>
      <c r="G6" s="8" t="str">
        <f>VLOOKUP(A6,Base!A:D,4,0)</f>
        <v>REFRIGERANTES</v>
      </c>
      <c r="I6" s="9" t="s">
        <v>548</v>
      </c>
      <c r="J6" s="6" t="s">
        <v>549</v>
      </c>
      <c r="K6" s="6" t="s">
        <v>1</v>
      </c>
      <c r="L6" s="3">
        <v>293.39599999999996</v>
      </c>
      <c r="M6" s="5">
        <v>41.769999999999996</v>
      </c>
      <c r="N6" s="5">
        <v>12244.513540000002</v>
      </c>
    </row>
    <row r="7" spans="1:16" x14ac:dyDescent="0.25">
      <c r="A7" s="1" t="s">
        <v>1246</v>
      </c>
      <c r="B7" s="1" t="s">
        <v>14</v>
      </c>
      <c r="C7" s="3">
        <v>24</v>
      </c>
      <c r="D7" s="2">
        <v>2.6442000000000001</v>
      </c>
      <c r="E7" s="2">
        <f>TabelaMucambo[[#This Row],[Qtde]]*TabelaMucambo[[#This Row],[Vl. Unitário]]</f>
        <v>63.460800000000006</v>
      </c>
      <c r="F7" s="7" t="str">
        <f>VLOOKUP(TabelaMucambo[[#This Row],[Código+Produto]],Base!A:C,3,0)</f>
        <v>COCA-COLA KS 290ML</v>
      </c>
      <c r="G7" s="8" t="str">
        <f>VLOOKUP(A7,Base!A:D,4,0)</f>
        <v>REFRIGERANTES</v>
      </c>
      <c r="I7" s="10" t="s">
        <v>548</v>
      </c>
      <c r="J7" s="6" t="s">
        <v>553</v>
      </c>
      <c r="K7" s="6" t="s">
        <v>1</v>
      </c>
      <c r="L7" s="3">
        <v>36.82</v>
      </c>
      <c r="M7" s="5">
        <v>92.88621818181818</v>
      </c>
      <c r="N7" s="5">
        <v>3417.1315779999995</v>
      </c>
    </row>
    <row r="8" spans="1:16" x14ac:dyDescent="0.25">
      <c r="A8" s="1" t="s">
        <v>1225</v>
      </c>
      <c r="B8" s="1" t="s">
        <v>14</v>
      </c>
      <c r="C8" s="3">
        <v>10</v>
      </c>
      <c r="D8" s="2">
        <v>6</v>
      </c>
      <c r="E8" s="2">
        <f>TabelaMucambo[[#This Row],[Qtde]]*TabelaMucambo[[#This Row],[Vl. Unitário]]</f>
        <v>60</v>
      </c>
      <c r="F8" s="7" t="str">
        <f>VLOOKUP(TabelaMucambo[[#This Row],[Código+Produto]],Base!A:C,3,0)</f>
        <v>MOUSSE DE MARACUJA</v>
      </c>
      <c r="G8" s="8" t="str">
        <f>VLOOKUP(A8,Base!A:D,4,0)</f>
        <v>MOUSSES</v>
      </c>
      <c r="I8" s="10" t="s">
        <v>548</v>
      </c>
      <c r="J8" s="6" t="s">
        <v>551</v>
      </c>
      <c r="K8" s="6" t="s">
        <v>1</v>
      </c>
      <c r="L8" s="3">
        <v>7.9</v>
      </c>
      <c r="M8" s="5">
        <v>64.995100000000008</v>
      </c>
      <c r="N8" s="5">
        <v>513.45785999999998</v>
      </c>
    </row>
    <row r="9" spans="1:16" x14ac:dyDescent="0.25">
      <c r="A9" s="1" t="s">
        <v>1216</v>
      </c>
      <c r="B9" s="1" t="s">
        <v>14</v>
      </c>
      <c r="C9" s="3">
        <v>6</v>
      </c>
      <c r="D9" s="2">
        <v>9</v>
      </c>
      <c r="E9" s="2">
        <f>TabelaMucambo[[#This Row],[Qtde]]*TabelaMucambo[[#This Row],[Vl. Unitário]]</f>
        <v>54</v>
      </c>
      <c r="F9" s="7" t="str">
        <f>VLOOKUP(TabelaMucambo[[#This Row],[Código+Produto]],Base!A:C,3,0)</f>
        <v>PUDIM DE LEITE CONDENSADO</v>
      </c>
      <c r="G9" s="8" t="str">
        <f>VLOOKUP(A9,Base!A:D,4,0)</f>
        <v>PUDINS</v>
      </c>
      <c r="I9" s="10" t="s">
        <v>548</v>
      </c>
      <c r="J9" s="6" t="s">
        <v>547</v>
      </c>
      <c r="K9" s="6" t="s">
        <v>1</v>
      </c>
      <c r="L9" s="3">
        <v>2</v>
      </c>
      <c r="M9" s="5">
        <v>46.906700000000001</v>
      </c>
      <c r="N9" s="5">
        <v>93.813400000000001</v>
      </c>
    </row>
    <row r="10" spans="1:16" x14ac:dyDescent="0.25">
      <c r="A10" s="1" t="s">
        <v>1223</v>
      </c>
      <c r="B10" s="1" t="s">
        <v>1224</v>
      </c>
      <c r="C10" s="3">
        <v>1</v>
      </c>
      <c r="D10" s="2">
        <v>0.32</v>
      </c>
      <c r="E10" s="2">
        <f>TabelaMucambo[[#This Row],[Qtde]]*TabelaMucambo[[#This Row],[Vl. Unitário]]</f>
        <v>0.32</v>
      </c>
      <c r="F10" s="7" t="str">
        <f>VLOOKUP(TabelaMucambo[[#This Row],[Código+Produto]],Base!A:C,3,0)</f>
        <v>QUENTINHA DE ISOPOR</v>
      </c>
      <c r="G10" s="8" t="str">
        <f>VLOOKUP(A10,Base!A:D,4,0)</f>
        <v>EMBALAGENS</v>
      </c>
      <c r="I10" s="9"/>
      <c r="J10" s="10"/>
      <c r="K10" s="10"/>
      <c r="L10" s="3"/>
      <c r="M10" s="5"/>
      <c r="N10" s="5"/>
    </row>
    <row r="11" spans="1:16" x14ac:dyDescent="0.25">
      <c r="A11" s="1" t="s">
        <v>1223</v>
      </c>
      <c r="B11" s="1" t="s">
        <v>1224</v>
      </c>
      <c r="C11" s="3">
        <v>2</v>
      </c>
      <c r="D11" s="2">
        <v>0.32</v>
      </c>
      <c r="E11" s="2">
        <f>TabelaMucambo[[#This Row],[Qtde]]*TabelaMucambo[[#This Row],[Vl. Unitário]]</f>
        <v>0.64</v>
      </c>
      <c r="F11" s="7" t="str">
        <f>VLOOKUP(TabelaMucambo[[#This Row],[Código+Produto]],Base!A:C,3,0)</f>
        <v>QUENTINHA DE ISOPOR</v>
      </c>
      <c r="G11" s="8" t="str">
        <f>VLOOKUP(A11,Base!A:D,4,0)</f>
        <v>EMBALAGENS</v>
      </c>
      <c r="I11" s="9" t="s">
        <v>569</v>
      </c>
      <c r="J11" s="6" t="s">
        <v>570</v>
      </c>
      <c r="K11" s="6" t="s">
        <v>1</v>
      </c>
      <c r="L11" s="3">
        <v>259.62600000000003</v>
      </c>
      <c r="M11" s="5">
        <v>16.674428571428571</v>
      </c>
      <c r="N11" s="5">
        <v>4344.3194939999994</v>
      </c>
    </row>
    <row r="12" spans="1:16" x14ac:dyDescent="0.25">
      <c r="A12" s="1" t="s">
        <v>24</v>
      </c>
      <c r="B12" s="1" t="s">
        <v>1</v>
      </c>
      <c r="C12" s="3">
        <v>2</v>
      </c>
      <c r="D12" s="2">
        <v>46.906700000000001</v>
      </c>
      <c r="E12" s="2">
        <f>TabelaMucambo[[#This Row],[Qtde]]*TabelaMucambo[[#This Row],[Vl. Unitário]]</f>
        <v>93.813400000000001</v>
      </c>
      <c r="F12" s="7" t="str">
        <f>VLOOKUP(TabelaMucambo[[#This Row],[Código+Produto]],Base!A:C,3,0)</f>
        <v>carne de sol mp</v>
      </c>
      <c r="G12" s="8" t="str">
        <f>VLOOKUP(A12,Base!A:D,4,0)</f>
        <v>CARNES BOVINAS</v>
      </c>
      <c r="I12" s="10" t="s">
        <v>569</v>
      </c>
      <c r="J12" s="9" t="s">
        <v>573</v>
      </c>
      <c r="K12" s="6" t="s">
        <v>14</v>
      </c>
      <c r="L12" s="3">
        <v>690</v>
      </c>
      <c r="M12" s="5">
        <v>0.56669999999999998</v>
      </c>
      <c r="N12" s="5">
        <v>391.02299999999997</v>
      </c>
    </row>
    <row r="13" spans="1:16" x14ac:dyDescent="0.25">
      <c r="A13" s="1" t="s">
        <v>11</v>
      </c>
      <c r="B13" s="1" t="s">
        <v>1</v>
      </c>
      <c r="C13" s="3">
        <v>14.4</v>
      </c>
      <c r="D13" s="2">
        <v>42.89</v>
      </c>
      <c r="E13" s="2">
        <f>TabelaMucambo[[#This Row],[Qtde]]*TabelaMucambo[[#This Row],[Vl. Unitário]]</f>
        <v>617.61599999999999</v>
      </c>
      <c r="F13" s="7" t="str">
        <f>VLOOKUP(TabelaMucambo[[#This Row],[Código+Produto]],Base!A:C,3,0)</f>
        <v>contra file mp</v>
      </c>
      <c r="G13" s="8" t="str">
        <f>VLOOKUP(A13,Base!A:D,4,0)</f>
        <v>CARNES BOVINAS</v>
      </c>
      <c r="I13" s="10" t="s">
        <v>569</v>
      </c>
      <c r="J13" s="10" t="s">
        <v>573</v>
      </c>
      <c r="K13" s="6" t="s">
        <v>1209</v>
      </c>
      <c r="L13" s="3">
        <v>10</v>
      </c>
      <c r="M13" s="5">
        <v>17.001000000000001</v>
      </c>
      <c r="N13" s="5">
        <v>170.01</v>
      </c>
    </row>
    <row r="14" spans="1:16" x14ac:dyDescent="0.25">
      <c r="A14" s="1" t="s">
        <v>11</v>
      </c>
      <c r="B14" s="1" t="s">
        <v>1</v>
      </c>
      <c r="C14" s="3">
        <v>19.600000000000001</v>
      </c>
      <c r="D14" s="2">
        <v>42.89</v>
      </c>
      <c r="E14" s="2">
        <f>TabelaMucambo[[#This Row],[Qtde]]*TabelaMucambo[[#This Row],[Vl. Unitário]]</f>
        <v>840.64400000000012</v>
      </c>
      <c r="F14" s="7" t="str">
        <f>VLOOKUP(TabelaMucambo[[#This Row],[Código+Produto]],Base!A:C,3,0)</f>
        <v>contra file mp</v>
      </c>
      <c r="G14" s="8" t="str">
        <f>VLOOKUP(A14,Base!A:D,4,0)</f>
        <v>CARNES BOVINAS</v>
      </c>
      <c r="I14" s="10" t="s">
        <v>569</v>
      </c>
      <c r="J14" s="6" t="s">
        <v>571</v>
      </c>
      <c r="K14" s="6" t="s">
        <v>1</v>
      </c>
      <c r="L14" s="3">
        <v>10.600000000000001</v>
      </c>
      <c r="M14" s="5">
        <v>9.9708000000000006</v>
      </c>
      <c r="N14" s="5">
        <v>105.69047999999999</v>
      </c>
    </row>
    <row r="15" spans="1:16" x14ac:dyDescent="0.25">
      <c r="A15" s="1" t="s">
        <v>11</v>
      </c>
      <c r="B15" s="1" t="s">
        <v>1</v>
      </c>
      <c r="C15" s="3">
        <v>10.25</v>
      </c>
      <c r="D15" s="2">
        <v>42.89</v>
      </c>
      <c r="E15" s="2">
        <f>TabelaMucambo[[#This Row],[Qtde]]*TabelaMucambo[[#This Row],[Vl. Unitário]]</f>
        <v>439.6225</v>
      </c>
      <c r="F15" s="7" t="str">
        <f>VLOOKUP(TabelaMucambo[[#This Row],[Código+Produto]],Base!A:C,3,0)</f>
        <v>contra file mp</v>
      </c>
      <c r="G15" s="8" t="str">
        <f>VLOOKUP(A15,Base!A:D,4,0)</f>
        <v>CARNES BOVINAS</v>
      </c>
      <c r="I15" s="9"/>
      <c r="J15" s="10"/>
      <c r="K15" s="10"/>
      <c r="L15" s="3"/>
      <c r="M15" s="5"/>
      <c r="N15" s="5"/>
    </row>
    <row r="16" spans="1:16" x14ac:dyDescent="0.25">
      <c r="A16" s="1" t="s">
        <v>11</v>
      </c>
      <c r="B16" s="1" t="s">
        <v>1</v>
      </c>
      <c r="C16" s="3">
        <v>43</v>
      </c>
      <c r="D16" s="2">
        <v>42.89</v>
      </c>
      <c r="E16" s="2">
        <f>TabelaMucambo[[#This Row],[Qtde]]*TabelaMucambo[[#This Row],[Vl. Unitário]]</f>
        <v>1844.27</v>
      </c>
      <c r="F16" s="7" t="str">
        <f>VLOOKUP(TabelaMucambo[[#This Row],[Código+Produto]],Base!A:C,3,0)</f>
        <v>contra file mp</v>
      </c>
      <c r="G16" s="8" t="str">
        <f>VLOOKUP(A16,Base!A:D,4,0)</f>
        <v>CARNES BOVINAS</v>
      </c>
      <c r="I16" s="9" t="s">
        <v>631</v>
      </c>
      <c r="J16" s="6" t="s">
        <v>632</v>
      </c>
      <c r="K16" s="6" t="s">
        <v>1</v>
      </c>
      <c r="L16" s="3">
        <v>189.6</v>
      </c>
      <c r="M16" s="5">
        <v>16.570100000000007</v>
      </c>
      <c r="N16" s="5">
        <v>3141.6909599999999</v>
      </c>
    </row>
    <row r="17" spans="1:14" x14ac:dyDescent="0.25">
      <c r="A17" s="1" t="s">
        <v>11</v>
      </c>
      <c r="B17" s="1" t="s">
        <v>1</v>
      </c>
      <c r="C17" s="3">
        <v>21.25</v>
      </c>
      <c r="D17" s="2">
        <v>42.89</v>
      </c>
      <c r="E17" s="2">
        <f>TabelaMucambo[[#This Row],[Qtde]]*TabelaMucambo[[#This Row],[Vl. Unitário]]</f>
        <v>911.41250000000002</v>
      </c>
      <c r="F17" s="7" t="str">
        <f>VLOOKUP(TabelaMucambo[[#This Row],[Código+Produto]],Base!A:C,3,0)</f>
        <v>contra file mp</v>
      </c>
      <c r="G17" s="8" t="str">
        <f>VLOOKUP(A17,Base!A:D,4,0)</f>
        <v>CARNES BOVINAS</v>
      </c>
      <c r="I17" s="10" t="s">
        <v>631</v>
      </c>
      <c r="J17" s="6" t="s">
        <v>630</v>
      </c>
      <c r="K17" s="6" t="s">
        <v>1</v>
      </c>
      <c r="L17" s="3">
        <v>32.718000000000004</v>
      </c>
      <c r="M17" s="5">
        <v>23.668642857142856</v>
      </c>
      <c r="N17" s="5">
        <v>772.08502500000009</v>
      </c>
    </row>
    <row r="18" spans="1:14" x14ac:dyDescent="0.25">
      <c r="A18" s="1" t="s">
        <v>11</v>
      </c>
      <c r="B18" s="1" t="s">
        <v>1</v>
      </c>
      <c r="C18" s="3">
        <v>22.885999999999999</v>
      </c>
      <c r="D18" s="2">
        <v>42.89</v>
      </c>
      <c r="E18" s="2">
        <f>TabelaMucambo[[#This Row],[Qtde]]*TabelaMucambo[[#This Row],[Vl. Unitário]]</f>
        <v>981.58053999999993</v>
      </c>
      <c r="F18" s="7" t="str">
        <f>VLOOKUP(TabelaMucambo[[#This Row],[Código+Produto]],Base!A:C,3,0)</f>
        <v>contra file mp</v>
      </c>
      <c r="G18" s="8" t="str">
        <f>VLOOKUP(A18,Base!A:D,4,0)</f>
        <v>CARNES BOVINAS</v>
      </c>
      <c r="I18" s="10" t="s">
        <v>631</v>
      </c>
      <c r="J18" s="6" t="s">
        <v>634</v>
      </c>
      <c r="K18" s="6" t="s">
        <v>1</v>
      </c>
      <c r="L18" s="3">
        <v>8.25</v>
      </c>
      <c r="M18" s="5">
        <v>19.684850000000001</v>
      </c>
      <c r="N18" s="5">
        <v>162.21642000000003</v>
      </c>
    </row>
    <row r="19" spans="1:14" x14ac:dyDescent="0.25">
      <c r="A19" s="1" t="s">
        <v>11</v>
      </c>
      <c r="B19" s="1" t="s">
        <v>1</v>
      </c>
      <c r="C19" s="3">
        <v>22.46</v>
      </c>
      <c r="D19" s="2">
        <v>41.89</v>
      </c>
      <c r="E19" s="2">
        <f>TabelaMucambo[[#This Row],[Qtde]]*TabelaMucambo[[#This Row],[Vl. Unitário]]</f>
        <v>940.84940000000006</v>
      </c>
      <c r="F19" s="7" t="str">
        <f>VLOOKUP(TabelaMucambo[[#This Row],[Código+Produto]],Base!A:C,3,0)</f>
        <v>contra file mp</v>
      </c>
      <c r="G19" s="8" t="str">
        <f>VLOOKUP(A19,Base!A:D,4,0)</f>
        <v>CARNES BOVINAS</v>
      </c>
      <c r="I19" s="9"/>
      <c r="J19" s="10"/>
      <c r="K19" s="10"/>
      <c r="L19" s="3"/>
      <c r="M19" s="5"/>
      <c r="N19" s="5"/>
    </row>
    <row r="20" spans="1:14" x14ac:dyDescent="0.25">
      <c r="A20" s="1" t="s">
        <v>11</v>
      </c>
      <c r="B20" s="1" t="s">
        <v>1</v>
      </c>
      <c r="C20" s="3">
        <v>24.34</v>
      </c>
      <c r="D20" s="2">
        <v>41.89</v>
      </c>
      <c r="E20" s="2">
        <f>TabelaMucambo[[#This Row],[Qtde]]*TabelaMucambo[[#This Row],[Vl. Unitário]]</f>
        <v>1019.6026000000001</v>
      </c>
      <c r="F20" s="7" t="str">
        <f>VLOOKUP(TabelaMucambo[[#This Row],[Código+Produto]],Base!A:C,3,0)</f>
        <v>contra file mp</v>
      </c>
      <c r="G20" s="8" t="str">
        <f>VLOOKUP(A20,Base!A:D,4,0)</f>
        <v>CARNES BOVINAS</v>
      </c>
      <c r="I20" s="9" t="s">
        <v>575</v>
      </c>
      <c r="J20" s="6" t="s">
        <v>579</v>
      </c>
      <c r="K20" s="6" t="s">
        <v>1</v>
      </c>
      <c r="L20" s="3">
        <v>175.89999999999998</v>
      </c>
      <c r="M20" s="5">
        <v>7</v>
      </c>
      <c r="N20" s="5">
        <v>1231.3000000000002</v>
      </c>
    </row>
    <row r="21" spans="1:14" x14ac:dyDescent="0.25">
      <c r="A21" s="1" t="s">
        <v>11</v>
      </c>
      <c r="B21" s="1" t="s">
        <v>1</v>
      </c>
      <c r="C21" s="3">
        <v>19.774000000000001</v>
      </c>
      <c r="D21" s="2">
        <v>41</v>
      </c>
      <c r="E21" s="2">
        <f>TabelaMucambo[[#This Row],[Qtde]]*TabelaMucambo[[#This Row],[Vl. Unitário]]</f>
        <v>810.73400000000004</v>
      </c>
      <c r="F21" s="7" t="str">
        <f>VLOOKUP(TabelaMucambo[[#This Row],[Código+Produto]],Base!A:C,3,0)</f>
        <v>contra file mp</v>
      </c>
      <c r="G21" s="8" t="str">
        <f>VLOOKUP(A21,Base!A:D,4,0)</f>
        <v>CARNES BOVINAS</v>
      </c>
      <c r="I21" s="10" t="s">
        <v>575</v>
      </c>
      <c r="J21" s="6" t="s">
        <v>580</v>
      </c>
      <c r="K21" s="6" t="s">
        <v>1</v>
      </c>
      <c r="L21" s="3">
        <v>280.04999999999995</v>
      </c>
      <c r="M21" s="5">
        <v>2.1053000000000002</v>
      </c>
      <c r="N21" s="5">
        <v>589.58926500000007</v>
      </c>
    </row>
    <row r="22" spans="1:14" x14ac:dyDescent="0.25">
      <c r="A22" s="1" t="s">
        <v>11</v>
      </c>
      <c r="B22" s="1" t="s">
        <v>1</v>
      </c>
      <c r="C22" s="3">
        <v>24.925999999999998</v>
      </c>
      <c r="D22" s="2">
        <v>41</v>
      </c>
      <c r="E22" s="2">
        <f>TabelaMucambo[[#This Row],[Qtde]]*TabelaMucambo[[#This Row],[Vl. Unitário]]</f>
        <v>1021.9659999999999</v>
      </c>
      <c r="F22" s="7" t="str">
        <f>VLOOKUP(TabelaMucambo[[#This Row],[Código+Produto]],Base!A:C,3,0)</f>
        <v>contra file mp</v>
      </c>
      <c r="G22" s="8" t="str">
        <f>VLOOKUP(A22,Base!A:D,4,0)</f>
        <v>CARNES BOVINAS</v>
      </c>
      <c r="I22" s="10" t="s">
        <v>575</v>
      </c>
      <c r="J22" s="6" t="s">
        <v>588</v>
      </c>
      <c r="K22" s="6" t="s">
        <v>1</v>
      </c>
      <c r="L22" s="3">
        <v>188.2</v>
      </c>
      <c r="M22" s="5">
        <v>2.7083000000000004</v>
      </c>
      <c r="N22" s="5">
        <v>509.70205999999996</v>
      </c>
    </row>
    <row r="23" spans="1:14" x14ac:dyDescent="0.25">
      <c r="A23" s="1" t="s">
        <v>11</v>
      </c>
      <c r="B23" s="1" t="s">
        <v>1</v>
      </c>
      <c r="C23" s="3">
        <v>23.64</v>
      </c>
      <c r="D23" s="2">
        <v>41</v>
      </c>
      <c r="E23" s="2">
        <f>TabelaMucambo[[#This Row],[Qtde]]*TabelaMucambo[[#This Row],[Vl. Unitário]]</f>
        <v>969.24</v>
      </c>
      <c r="F23" s="7" t="str">
        <f>VLOOKUP(TabelaMucambo[[#This Row],[Código+Produto]],Base!A:C,3,0)</f>
        <v>contra file mp</v>
      </c>
      <c r="G23" s="8" t="str">
        <f>VLOOKUP(A23,Base!A:D,4,0)</f>
        <v>CARNES BOVINAS</v>
      </c>
      <c r="I23" s="10" t="s">
        <v>575</v>
      </c>
      <c r="J23" s="6" t="s">
        <v>591</v>
      </c>
      <c r="K23" s="6" t="s">
        <v>1</v>
      </c>
      <c r="L23" s="3">
        <v>117.88999999999999</v>
      </c>
      <c r="M23" s="5">
        <v>2.75</v>
      </c>
      <c r="N23" s="5">
        <v>319.80000000000007</v>
      </c>
    </row>
    <row r="24" spans="1:14" x14ac:dyDescent="0.25">
      <c r="A24" s="1" t="s">
        <v>11</v>
      </c>
      <c r="B24" s="1" t="s">
        <v>1</v>
      </c>
      <c r="C24" s="3">
        <v>21.4</v>
      </c>
      <c r="D24" s="2">
        <v>39.89</v>
      </c>
      <c r="E24" s="2">
        <f>TabelaMucambo[[#This Row],[Qtde]]*TabelaMucambo[[#This Row],[Vl. Unitário]]</f>
        <v>853.64599999999996</v>
      </c>
      <c r="F24" s="7" t="str">
        <f>VLOOKUP(TabelaMucambo[[#This Row],[Código+Produto]],Base!A:C,3,0)</f>
        <v>contra file mp</v>
      </c>
      <c r="G24" s="8" t="str">
        <f>VLOOKUP(A24,Base!A:D,4,0)</f>
        <v>CARNES BOVINAS</v>
      </c>
      <c r="I24" s="10" t="s">
        <v>575</v>
      </c>
      <c r="J24" s="6" t="s">
        <v>590</v>
      </c>
      <c r="K24" s="6" t="s">
        <v>1</v>
      </c>
      <c r="L24" s="3">
        <v>110.5</v>
      </c>
      <c r="M24" s="5">
        <v>1.7</v>
      </c>
      <c r="N24" s="5">
        <v>187.85000000000002</v>
      </c>
    </row>
    <row r="25" spans="1:14" x14ac:dyDescent="0.25">
      <c r="A25" s="1" t="s">
        <v>11</v>
      </c>
      <c r="B25" s="1" t="s">
        <v>1</v>
      </c>
      <c r="C25" s="3">
        <v>25.47</v>
      </c>
      <c r="D25" s="2">
        <v>39</v>
      </c>
      <c r="E25" s="2">
        <f>TabelaMucambo[[#This Row],[Qtde]]*TabelaMucambo[[#This Row],[Vl. Unitário]]</f>
        <v>993.32999999999993</v>
      </c>
      <c r="F25" s="40" t="str">
        <f>VLOOKUP(TabelaMucambo[[#This Row],[Código+Produto]],Base!A:C,3,0)</f>
        <v>contra file mp</v>
      </c>
      <c r="G25" s="8" t="str">
        <f>VLOOKUP(A25,Base!A:D,4,0)</f>
        <v>CARNES BOVINAS</v>
      </c>
      <c r="I25" s="10" t="s">
        <v>575</v>
      </c>
      <c r="J25" s="6" t="s">
        <v>578</v>
      </c>
      <c r="K25" s="6" t="s">
        <v>1</v>
      </c>
      <c r="L25" s="3">
        <v>42.94</v>
      </c>
      <c r="M25" s="5">
        <v>2.75</v>
      </c>
      <c r="N25" s="5">
        <v>120.675</v>
      </c>
    </row>
    <row r="26" spans="1:14" x14ac:dyDescent="0.25">
      <c r="A26" s="1" t="s">
        <v>12</v>
      </c>
      <c r="B26" s="1" t="s">
        <v>1</v>
      </c>
      <c r="C26" s="3">
        <v>3.6</v>
      </c>
      <c r="D26" s="2">
        <v>65</v>
      </c>
      <c r="E26" s="2">
        <f>TabelaMucambo[[#This Row],[Qtde]]*TabelaMucambo[[#This Row],[Vl. Unitário]]</f>
        <v>234</v>
      </c>
      <c r="F26" s="7" t="str">
        <f>VLOOKUP(TabelaMucambo[[#This Row],[Código+Produto]],Base!A:C,3,0)</f>
        <v>file mignon mp</v>
      </c>
      <c r="G26" s="8" t="str">
        <f>VLOOKUP(A26,Base!A:D,4,0)</f>
        <v>CARNES BOVINAS</v>
      </c>
      <c r="I26" s="10" t="s">
        <v>575</v>
      </c>
      <c r="J26" s="6" t="s">
        <v>584</v>
      </c>
      <c r="K26" s="6" t="s">
        <v>14</v>
      </c>
      <c r="L26" s="3">
        <v>27</v>
      </c>
      <c r="M26" s="5">
        <v>3.6111</v>
      </c>
      <c r="N26" s="5">
        <v>97.49969999999999</v>
      </c>
    </row>
    <row r="27" spans="1:14" x14ac:dyDescent="0.25">
      <c r="A27" s="1" t="s">
        <v>12</v>
      </c>
      <c r="B27" s="1" t="s">
        <v>1</v>
      </c>
      <c r="C27" s="3">
        <v>4.3</v>
      </c>
      <c r="D27" s="2">
        <v>64.990200000000002</v>
      </c>
      <c r="E27" s="2">
        <f>TabelaMucambo[[#This Row],[Qtde]]*TabelaMucambo[[#This Row],[Vl. Unitário]]</f>
        <v>279.45785999999998</v>
      </c>
      <c r="F27" s="7" t="str">
        <f>VLOOKUP(TabelaMucambo[[#This Row],[Código+Produto]],Base!A:C,3,0)</f>
        <v>file mignon mp</v>
      </c>
      <c r="G27" s="8" t="str">
        <f>VLOOKUP(A27,Base!A:D,4,0)</f>
        <v>CARNES BOVINAS</v>
      </c>
      <c r="I27" s="10" t="s">
        <v>575</v>
      </c>
      <c r="J27" s="6" t="s">
        <v>587</v>
      </c>
      <c r="K27" s="6" t="s">
        <v>1</v>
      </c>
      <c r="L27" s="3">
        <v>10.600000000000001</v>
      </c>
      <c r="M27" s="5">
        <v>8</v>
      </c>
      <c r="N27" s="5">
        <v>84.800000000000011</v>
      </c>
    </row>
    <row r="28" spans="1:14" x14ac:dyDescent="0.25">
      <c r="A28" s="1" t="s">
        <v>1193</v>
      </c>
      <c r="B28" s="1" t="s">
        <v>1</v>
      </c>
      <c r="C28" s="3">
        <v>8.5</v>
      </c>
      <c r="D28" s="2">
        <v>92.170400000000001</v>
      </c>
      <c r="E28" s="2">
        <f>TabelaMucambo[[#This Row],[Qtde]]*TabelaMucambo[[#This Row],[Vl. Unitário]]</f>
        <v>783.44839999999999</v>
      </c>
      <c r="F28" s="7" t="str">
        <f>VLOOKUP(TabelaMucambo[[#This Row],[Código+Produto]],Base!A:C,3,0)</f>
        <v>picanha importada mp</v>
      </c>
      <c r="G28" s="8" t="str">
        <f>VLOOKUP(A28,Base!A:D,4,0)</f>
        <v>CARNES BOVINAS</v>
      </c>
      <c r="I28" s="10" t="s">
        <v>575</v>
      </c>
      <c r="J28" s="6" t="s">
        <v>589</v>
      </c>
      <c r="K28" s="6" t="s">
        <v>1</v>
      </c>
      <c r="L28" s="3">
        <v>11.08</v>
      </c>
      <c r="M28" s="5">
        <v>6.2868000000000004</v>
      </c>
      <c r="N28" s="5">
        <v>69.657744000000008</v>
      </c>
    </row>
    <row r="29" spans="1:14" x14ac:dyDescent="0.25">
      <c r="A29" s="1" t="s">
        <v>1193</v>
      </c>
      <c r="B29" s="1" t="s">
        <v>1</v>
      </c>
      <c r="C29" s="3">
        <v>2.5499999999999998</v>
      </c>
      <c r="D29" s="2">
        <v>92.170400000000001</v>
      </c>
      <c r="E29" s="2">
        <f>TabelaMucambo[[#This Row],[Qtde]]*TabelaMucambo[[#This Row],[Vl. Unitário]]</f>
        <v>235.03451999999999</v>
      </c>
      <c r="F29" s="7" t="str">
        <f>VLOOKUP(TabelaMucambo[[#This Row],[Código+Produto]],Base!A:C,3,0)</f>
        <v>picanha importada mp</v>
      </c>
      <c r="G29" s="8" t="str">
        <f>VLOOKUP(A29,Base!A:D,4,0)</f>
        <v>CARNES BOVINAS</v>
      </c>
      <c r="I29" s="10" t="s">
        <v>575</v>
      </c>
      <c r="J29" s="6" t="s">
        <v>583</v>
      </c>
      <c r="K29" s="6" t="s">
        <v>1</v>
      </c>
      <c r="L29" s="3">
        <v>2.0499999999999998</v>
      </c>
      <c r="M29" s="5">
        <v>27.5</v>
      </c>
      <c r="N29" s="5">
        <v>54.5</v>
      </c>
    </row>
    <row r="30" spans="1:14" x14ac:dyDescent="0.25">
      <c r="A30" s="1" t="s">
        <v>1193</v>
      </c>
      <c r="B30" s="1" t="s">
        <v>1</v>
      </c>
      <c r="C30" s="3">
        <v>3.3</v>
      </c>
      <c r="D30" s="2">
        <v>92.168000000000006</v>
      </c>
      <c r="E30" s="2">
        <f>TabelaMucambo[[#This Row],[Qtde]]*TabelaMucambo[[#This Row],[Vl. Unitário]]</f>
        <v>304.15440000000001</v>
      </c>
      <c r="F30" s="7" t="str">
        <f>VLOOKUP(TabelaMucambo[[#This Row],[Código+Produto]],Base!A:C,3,0)</f>
        <v>picanha importada mp</v>
      </c>
      <c r="G30" s="8" t="str">
        <f>VLOOKUP(A30,Base!A:D,4,0)</f>
        <v>CARNES BOVINAS</v>
      </c>
      <c r="I30" s="10" t="s">
        <v>575</v>
      </c>
      <c r="J30" s="6" t="s">
        <v>581</v>
      </c>
      <c r="K30" s="6" t="s">
        <v>1</v>
      </c>
      <c r="L30" s="3">
        <v>8.1999999999999993</v>
      </c>
      <c r="M30" s="5">
        <v>4</v>
      </c>
      <c r="N30" s="5">
        <v>32.799999999999997</v>
      </c>
    </row>
    <row r="31" spans="1:14" x14ac:dyDescent="0.25">
      <c r="A31" s="1" t="s">
        <v>1193</v>
      </c>
      <c r="B31" s="1" t="s">
        <v>1</v>
      </c>
      <c r="C31" s="3">
        <v>3.25</v>
      </c>
      <c r="D31" s="2">
        <v>92.168000000000006</v>
      </c>
      <c r="E31" s="2">
        <f>TabelaMucambo[[#This Row],[Qtde]]*TabelaMucambo[[#This Row],[Vl. Unitário]]</f>
        <v>299.54600000000005</v>
      </c>
      <c r="F31" s="7" t="str">
        <f>VLOOKUP(TabelaMucambo[[#This Row],[Código+Produto]],Base!A:C,3,0)</f>
        <v>picanha importada mp</v>
      </c>
      <c r="G31" s="8" t="str">
        <f>VLOOKUP(A31,Base!A:D,4,0)</f>
        <v>CARNES BOVINAS</v>
      </c>
      <c r="I31" s="10" t="s">
        <v>575</v>
      </c>
      <c r="J31" s="6" t="s">
        <v>574</v>
      </c>
      <c r="K31" s="6" t="s">
        <v>1</v>
      </c>
      <c r="L31" s="3">
        <v>14.9</v>
      </c>
      <c r="M31" s="5">
        <v>1.5500000000000005</v>
      </c>
      <c r="N31" s="5">
        <v>23.094999999999999</v>
      </c>
    </row>
    <row r="32" spans="1:14" x14ac:dyDescent="0.25">
      <c r="A32" s="1" t="s">
        <v>1193</v>
      </c>
      <c r="B32" s="1" t="s">
        <v>1</v>
      </c>
      <c r="C32" s="3">
        <v>1.55</v>
      </c>
      <c r="D32" s="2">
        <v>92.168000000000006</v>
      </c>
      <c r="E32" s="2">
        <f>TabelaMucambo[[#This Row],[Qtde]]*TabelaMucambo[[#This Row],[Vl. Unitário]]</f>
        <v>142.86040000000003</v>
      </c>
      <c r="F32" s="7" t="str">
        <f>VLOOKUP(TabelaMucambo[[#This Row],[Código+Produto]],Base!A:C,3,0)</f>
        <v>picanha importada mp</v>
      </c>
      <c r="G32" s="8" t="str">
        <f>VLOOKUP(A32,Base!A:D,4,0)</f>
        <v>CARNES BOVINAS</v>
      </c>
      <c r="I32" s="10" t="s">
        <v>575</v>
      </c>
      <c r="J32" s="6" t="s">
        <v>858</v>
      </c>
      <c r="K32" s="6" t="s">
        <v>14</v>
      </c>
      <c r="L32" s="3">
        <v>10</v>
      </c>
      <c r="M32" s="5">
        <v>2.25</v>
      </c>
      <c r="N32" s="5">
        <v>22.5</v>
      </c>
    </row>
    <row r="33" spans="1:14" x14ac:dyDescent="0.25">
      <c r="A33" s="1" t="s">
        <v>1193</v>
      </c>
      <c r="B33" s="1" t="s">
        <v>1</v>
      </c>
      <c r="C33" s="3">
        <v>2.4</v>
      </c>
      <c r="D33" s="2">
        <v>93.142700000000005</v>
      </c>
      <c r="E33" s="2">
        <f>TabelaMucambo[[#This Row],[Qtde]]*TabelaMucambo[[#This Row],[Vl. Unitário]]</f>
        <v>223.54248000000001</v>
      </c>
      <c r="F33" s="7" t="str">
        <f>VLOOKUP(TabelaMucambo[[#This Row],[Código+Produto]],Base!A:C,3,0)</f>
        <v>picanha importada mp</v>
      </c>
      <c r="G33" s="8" t="str">
        <f>VLOOKUP(A33,Base!A:D,4,0)</f>
        <v>CARNES BOVINAS</v>
      </c>
      <c r="I33" s="10" t="s">
        <v>575</v>
      </c>
      <c r="J33" s="6" t="s">
        <v>585</v>
      </c>
      <c r="K33" s="6" t="s">
        <v>1</v>
      </c>
      <c r="L33" s="3">
        <v>2.7</v>
      </c>
      <c r="M33" s="5">
        <v>3.7837999999999998</v>
      </c>
      <c r="N33" s="5">
        <v>10.21626</v>
      </c>
    </row>
    <row r="34" spans="1:14" x14ac:dyDescent="0.25">
      <c r="A34" s="1" t="s">
        <v>1193</v>
      </c>
      <c r="B34" s="1" t="s">
        <v>1</v>
      </c>
      <c r="C34" s="3">
        <v>3.15</v>
      </c>
      <c r="D34" s="2">
        <v>96.048900000000003</v>
      </c>
      <c r="E34" s="2">
        <f>TabelaMucambo[[#This Row],[Qtde]]*TabelaMucambo[[#This Row],[Vl. Unitário]]</f>
        <v>302.554035</v>
      </c>
      <c r="F34" s="7" t="str">
        <f>VLOOKUP(TabelaMucambo[[#This Row],[Código+Produto]],Base!A:C,3,0)</f>
        <v>picanha importada mp</v>
      </c>
      <c r="G34" s="8" t="str">
        <f>VLOOKUP(A34,Base!A:D,4,0)</f>
        <v>CARNES BOVINAS</v>
      </c>
      <c r="I34" s="10" t="s">
        <v>575</v>
      </c>
      <c r="J34" s="6" t="s">
        <v>586</v>
      </c>
      <c r="K34" s="6" t="s">
        <v>1</v>
      </c>
      <c r="L34" s="3">
        <v>6.6700000000000008</v>
      </c>
      <c r="M34" s="5">
        <v>0.75</v>
      </c>
      <c r="N34" s="5">
        <v>5.0025000000000004</v>
      </c>
    </row>
    <row r="35" spans="1:14" x14ac:dyDescent="0.25">
      <c r="A35" s="1" t="s">
        <v>1193</v>
      </c>
      <c r="B35" s="1" t="s">
        <v>1</v>
      </c>
      <c r="C35" s="3">
        <v>3</v>
      </c>
      <c r="D35" s="2">
        <v>92.168000000000006</v>
      </c>
      <c r="E35" s="2">
        <f>TabelaMucambo[[#This Row],[Qtde]]*TabelaMucambo[[#This Row],[Vl. Unitário]]</f>
        <v>276.50400000000002</v>
      </c>
      <c r="F35" s="7" t="str">
        <f>VLOOKUP(TabelaMucambo[[#This Row],[Código+Produto]],Base!A:C,3,0)</f>
        <v>picanha importada mp</v>
      </c>
      <c r="G35" s="8" t="str">
        <f>VLOOKUP(A35,Base!A:D,4,0)</f>
        <v>CARNES BOVINAS</v>
      </c>
      <c r="I35" s="9"/>
      <c r="J35" s="10"/>
      <c r="K35" s="10"/>
      <c r="L35" s="3"/>
      <c r="M35" s="5"/>
      <c r="N35" s="5"/>
    </row>
    <row r="36" spans="1:14" x14ac:dyDescent="0.25">
      <c r="A36" s="1" t="s">
        <v>1193</v>
      </c>
      <c r="B36" s="1" t="s">
        <v>1</v>
      </c>
      <c r="C36" s="3">
        <v>1.85</v>
      </c>
      <c r="D36" s="2">
        <v>93.364199999999997</v>
      </c>
      <c r="E36" s="2">
        <f>TabelaMucambo[[#This Row],[Qtde]]*TabelaMucambo[[#This Row],[Vl. Unitário]]</f>
        <v>172.72377</v>
      </c>
      <c r="F36" s="7" t="str">
        <f>VLOOKUP(TabelaMucambo[[#This Row],[Código+Produto]],Base!A:C,3,0)</f>
        <v>picanha importada mp</v>
      </c>
      <c r="G36" s="8" t="str">
        <f>VLOOKUP(A36,Base!A:D,4,0)</f>
        <v>CARNES BOVINAS</v>
      </c>
      <c r="I36" s="9" t="s">
        <v>605</v>
      </c>
      <c r="J36" s="6" t="s">
        <v>622</v>
      </c>
      <c r="K36" s="6" t="s">
        <v>1</v>
      </c>
      <c r="L36" s="3">
        <v>104.25</v>
      </c>
      <c r="M36" s="5">
        <v>10.730283333333333</v>
      </c>
      <c r="N36" s="5">
        <v>1118.785275</v>
      </c>
    </row>
    <row r="37" spans="1:14" x14ac:dyDescent="0.25">
      <c r="A37" s="1" t="s">
        <v>1193</v>
      </c>
      <c r="B37" s="1" t="s">
        <v>1</v>
      </c>
      <c r="C37" s="3">
        <v>2.7</v>
      </c>
      <c r="D37" s="2">
        <v>93.0899</v>
      </c>
      <c r="E37" s="2">
        <f>TabelaMucambo[[#This Row],[Qtde]]*TabelaMucambo[[#This Row],[Vl. Unitário]]</f>
        <v>251.34273000000002</v>
      </c>
      <c r="F37" s="7" t="str">
        <f>VLOOKUP(TabelaMucambo[[#This Row],[Código+Produto]],Base!A:C,3,0)</f>
        <v>picanha importada mp</v>
      </c>
      <c r="G37" s="8" t="str">
        <f>VLOOKUP(A37,Base!A:D,4,0)</f>
        <v>CARNES BOVINAS</v>
      </c>
      <c r="I37" s="10" t="s">
        <v>605</v>
      </c>
      <c r="J37" s="6" t="s">
        <v>607</v>
      </c>
      <c r="K37" s="6" t="s">
        <v>1</v>
      </c>
      <c r="L37" s="3">
        <v>280</v>
      </c>
      <c r="M37" s="5">
        <v>3.8045454545454547</v>
      </c>
      <c r="N37" s="5">
        <v>1065</v>
      </c>
    </row>
    <row r="38" spans="1:14" x14ac:dyDescent="0.25">
      <c r="A38" s="1" t="s">
        <v>1193</v>
      </c>
      <c r="B38" s="1" t="s">
        <v>1</v>
      </c>
      <c r="C38" s="3">
        <v>4.57</v>
      </c>
      <c r="D38" s="2">
        <v>93.0899</v>
      </c>
      <c r="E38" s="2">
        <f>TabelaMucambo[[#This Row],[Qtde]]*TabelaMucambo[[#This Row],[Vl. Unitário]]</f>
        <v>425.42084300000005</v>
      </c>
      <c r="F38" s="40" t="str">
        <f>VLOOKUP(TabelaMucambo[[#This Row],[Código+Produto]],Base!A:C,3,0)</f>
        <v>picanha importada mp</v>
      </c>
      <c r="G38" s="8" t="str">
        <f>VLOOKUP(A38,Base!A:D,4,0)</f>
        <v>CARNES BOVINAS</v>
      </c>
      <c r="I38" s="10" t="s">
        <v>605</v>
      </c>
      <c r="J38" s="6" t="s">
        <v>606</v>
      </c>
      <c r="K38" s="6" t="s">
        <v>1</v>
      </c>
      <c r="L38" s="3">
        <v>40</v>
      </c>
      <c r="M38" s="5">
        <v>4.57</v>
      </c>
      <c r="N38" s="5">
        <v>182.8</v>
      </c>
    </row>
    <row r="39" spans="1:14" x14ac:dyDescent="0.25">
      <c r="A39" s="1" t="s">
        <v>29</v>
      </c>
      <c r="B39" s="1" t="s">
        <v>1</v>
      </c>
      <c r="C39" s="3">
        <v>12</v>
      </c>
      <c r="D39" s="2">
        <v>12.9543</v>
      </c>
      <c r="E39" s="2">
        <f>TabelaMucambo[[#This Row],[Qtde]]*TabelaMucambo[[#This Row],[Vl. Unitário]]</f>
        <v>155.45159999999998</v>
      </c>
      <c r="F39" s="7" t="str">
        <f>VLOOKUP(TabelaMucambo[[#This Row],[Código+Produto]],Base!A:C,3,0)</f>
        <v>batata pre frita mp</v>
      </c>
      <c r="G39" s="8" t="str">
        <f>VLOOKUP(A39,Base!A:D,4,0)</f>
        <v>CONGELADOS</v>
      </c>
      <c r="I39" s="10" t="s">
        <v>605</v>
      </c>
      <c r="J39" s="6" t="s">
        <v>609</v>
      </c>
      <c r="K39" s="6" t="s">
        <v>1</v>
      </c>
      <c r="L39" s="3">
        <v>13</v>
      </c>
      <c r="M39" s="5">
        <v>12.634733333333335</v>
      </c>
      <c r="N39" s="5">
        <v>165.3897</v>
      </c>
    </row>
    <row r="40" spans="1:14" x14ac:dyDescent="0.25">
      <c r="A40" s="1" t="s">
        <v>29</v>
      </c>
      <c r="B40" s="1" t="s">
        <v>1</v>
      </c>
      <c r="C40" s="3">
        <v>24</v>
      </c>
      <c r="D40" s="2">
        <v>12.9543</v>
      </c>
      <c r="E40" s="2">
        <f>TabelaMucambo[[#This Row],[Qtde]]*TabelaMucambo[[#This Row],[Vl. Unitário]]</f>
        <v>310.90319999999997</v>
      </c>
      <c r="F40" s="7" t="str">
        <f>VLOOKUP(TabelaMucambo[[#This Row],[Código+Produto]],Base!A:C,3,0)</f>
        <v>batata pre frita mp</v>
      </c>
      <c r="G40" s="8" t="str">
        <f>VLOOKUP(A40,Base!A:D,4,0)</f>
        <v>CONGELADOS</v>
      </c>
      <c r="I40" s="10" t="s">
        <v>605</v>
      </c>
      <c r="J40" s="6" t="s">
        <v>613</v>
      </c>
      <c r="K40" s="6" t="s">
        <v>1</v>
      </c>
      <c r="L40" s="3">
        <v>22.4</v>
      </c>
      <c r="M40" s="5">
        <v>7</v>
      </c>
      <c r="N40" s="5">
        <v>156.80000000000001</v>
      </c>
    </row>
    <row r="41" spans="1:14" x14ac:dyDescent="0.25">
      <c r="A41" s="1" t="s">
        <v>29</v>
      </c>
      <c r="B41" s="1" t="s">
        <v>1</v>
      </c>
      <c r="C41" s="3">
        <v>12</v>
      </c>
      <c r="D41" s="2">
        <v>12.9543</v>
      </c>
      <c r="E41" s="2">
        <f>TabelaMucambo[[#This Row],[Qtde]]*TabelaMucambo[[#This Row],[Vl. Unitário]]</f>
        <v>155.45159999999998</v>
      </c>
      <c r="F41" s="7" t="str">
        <f>VLOOKUP(TabelaMucambo[[#This Row],[Código+Produto]],Base!A:C,3,0)</f>
        <v>batata pre frita mp</v>
      </c>
      <c r="G41" s="8" t="str">
        <f>VLOOKUP(A41,Base!A:D,4,0)</f>
        <v>CONGELADOS</v>
      </c>
      <c r="I41" s="10" t="s">
        <v>605</v>
      </c>
      <c r="J41" s="9" t="s">
        <v>621</v>
      </c>
      <c r="K41" s="6" t="s">
        <v>43</v>
      </c>
      <c r="L41" s="3">
        <v>28</v>
      </c>
      <c r="M41" s="5">
        <v>2.99</v>
      </c>
      <c r="N41" s="5">
        <v>83.72</v>
      </c>
    </row>
    <row r="42" spans="1:14" x14ac:dyDescent="0.25">
      <c r="A42" s="1" t="s">
        <v>29</v>
      </c>
      <c r="B42" s="1" t="s">
        <v>1</v>
      </c>
      <c r="C42" s="3">
        <v>12</v>
      </c>
      <c r="D42" s="2">
        <v>12.9543</v>
      </c>
      <c r="E42" s="2">
        <f>TabelaMucambo[[#This Row],[Qtde]]*TabelaMucambo[[#This Row],[Vl. Unitário]]</f>
        <v>155.45159999999998</v>
      </c>
      <c r="F42" s="7" t="str">
        <f>VLOOKUP(TabelaMucambo[[#This Row],[Código+Produto]],Base!A:C,3,0)</f>
        <v>batata pre frita mp</v>
      </c>
      <c r="G42" s="8" t="str">
        <f>VLOOKUP(A42,Base!A:D,4,0)</f>
        <v>CONGELADOS</v>
      </c>
      <c r="I42" s="10" t="s">
        <v>605</v>
      </c>
      <c r="J42" s="10" t="s">
        <v>621</v>
      </c>
      <c r="K42" s="6" t="s">
        <v>1</v>
      </c>
      <c r="L42" s="3">
        <v>5.7</v>
      </c>
      <c r="M42" s="5">
        <v>7.4749999999999996</v>
      </c>
      <c r="N42" s="5">
        <v>42.607500000000002</v>
      </c>
    </row>
    <row r="43" spans="1:14" x14ac:dyDescent="0.25">
      <c r="A43" s="1" t="s">
        <v>29</v>
      </c>
      <c r="B43" s="1" t="s">
        <v>1</v>
      </c>
      <c r="C43" s="3">
        <v>12</v>
      </c>
      <c r="D43" s="2">
        <v>12.9543</v>
      </c>
      <c r="E43" s="2">
        <f>TabelaMucambo[[#This Row],[Qtde]]*TabelaMucambo[[#This Row],[Vl. Unitário]]</f>
        <v>155.45159999999998</v>
      </c>
      <c r="F43" s="7" t="str">
        <f>VLOOKUP(TabelaMucambo[[#This Row],[Código+Produto]],Base!A:C,3,0)</f>
        <v>batata pre frita mp</v>
      </c>
      <c r="G43" s="8" t="str">
        <f>VLOOKUP(A43,Base!A:D,4,0)</f>
        <v>CONGELADOS</v>
      </c>
      <c r="I43" s="10" t="s">
        <v>605</v>
      </c>
      <c r="J43" s="6" t="s">
        <v>614</v>
      </c>
      <c r="K43" s="6" t="s">
        <v>1</v>
      </c>
      <c r="L43" s="3">
        <v>30</v>
      </c>
      <c r="M43" s="5">
        <v>3.94</v>
      </c>
      <c r="N43" s="5">
        <v>118.19999999999999</v>
      </c>
    </row>
    <row r="44" spans="1:14" x14ac:dyDescent="0.25">
      <c r="A44" s="1" t="s">
        <v>29</v>
      </c>
      <c r="B44" s="1" t="s">
        <v>1</v>
      </c>
      <c r="C44" s="3">
        <v>24</v>
      </c>
      <c r="D44" s="2">
        <v>12.953900000000001</v>
      </c>
      <c r="E44" s="2">
        <f>TabelaMucambo[[#This Row],[Qtde]]*TabelaMucambo[[#This Row],[Vl. Unitário]]</f>
        <v>310.89359999999999</v>
      </c>
      <c r="F44" s="7" t="str">
        <f>VLOOKUP(TabelaMucambo[[#This Row],[Código+Produto]],Base!A:C,3,0)</f>
        <v>batata pre frita mp</v>
      </c>
      <c r="G44" s="8" t="str">
        <f>VLOOKUP(A44,Base!A:D,4,0)</f>
        <v>CONGELADOS</v>
      </c>
      <c r="I44" s="10" t="s">
        <v>605</v>
      </c>
      <c r="J44" s="6" t="s">
        <v>615</v>
      </c>
      <c r="K44" s="6" t="s">
        <v>1</v>
      </c>
      <c r="L44" s="3">
        <v>11.5</v>
      </c>
      <c r="M44" s="5">
        <v>6.5</v>
      </c>
      <c r="N44" s="5">
        <v>74.75</v>
      </c>
    </row>
    <row r="45" spans="1:14" x14ac:dyDescent="0.25">
      <c r="A45" s="1" t="s">
        <v>29</v>
      </c>
      <c r="B45" s="1" t="s">
        <v>1</v>
      </c>
      <c r="C45" s="3">
        <v>12</v>
      </c>
      <c r="D45" s="2">
        <v>12.953900000000001</v>
      </c>
      <c r="E45" s="2">
        <f>TabelaMucambo[[#This Row],[Qtde]]*TabelaMucambo[[#This Row],[Vl. Unitário]]</f>
        <v>155.4468</v>
      </c>
      <c r="F45" s="7" t="str">
        <f>VLOOKUP(TabelaMucambo[[#This Row],[Código+Produto]],Base!A:C,3,0)</f>
        <v>batata pre frita mp</v>
      </c>
      <c r="G45" s="8" t="str">
        <f>VLOOKUP(A45,Base!A:D,4,0)</f>
        <v>CONGELADOS</v>
      </c>
      <c r="I45" s="10" t="s">
        <v>605</v>
      </c>
      <c r="J45" s="6" t="s">
        <v>619</v>
      </c>
      <c r="K45" s="6" t="s">
        <v>1</v>
      </c>
      <c r="L45" s="3">
        <v>10.199999999999999</v>
      </c>
      <c r="M45" s="5">
        <v>7.2786333333333326</v>
      </c>
      <c r="N45" s="5">
        <v>74.242060000000009</v>
      </c>
    </row>
    <row r="46" spans="1:14" x14ac:dyDescent="0.25">
      <c r="A46" s="1" t="s">
        <v>29</v>
      </c>
      <c r="B46" s="1" t="s">
        <v>1</v>
      </c>
      <c r="C46" s="3">
        <v>24</v>
      </c>
      <c r="D46" s="2">
        <v>12.953900000000001</v>
      </c>
      <c r="E46" s="2">
        <f>TabelaMucambo[[#This Row],[Qtde]]*TabelaMucambo[[#This Row],[Vl. Unitário]]</f>
        <v>310.89359999999999</v>
      </c>
      <c r="F46" s="7" t="str">
        <f>VLOOKUP(TabelaMucambo[[#This Row],[Código+Produto]],Base!A:C,3,0)</f>
        <v>batata pre frita mp</v>
      </c>
      <c r="G46" s="8" t="str">
        <f>VLOOKUP(A46,Base!A:D,4,0)</f>
        <v>CONGELADOS</v>
      </c>
      <c r="I46" s="10" t="s">
        <v>605</v>
      </c>
      <c r="J46" s="6" t="s">
        <v>604</v>
      </c>
      <c r="K46" s="6" t="s">
        <v>1</v>
      </c>
      <c r="L46" s="3">
        <v>16</v>
      </c>
      <c r="M46" s="5">
        <v>3</v>
      </c>
      <c r="N46" s="5">
        <v>48</v>
      </c>
    </row>
    <row r="47" spans="1:14" x14ac:dyDescent="0.25">
      <c r="A47" s="1" t="s">
        <v>29</v>
      </c>
      <c r="B47" s="1" t="s">
        <v>1</v>
      </c>
      <c r="C47" s="3">
        <v>12</v>
      </c>
      <c r="D47" s="2">
        <v>12.953900000000001</v>
      </c>
      <c r="E47" s="2">
        <f>TabelaMucambo[[#This Row],[Qtde]]*TabelaMucambo[[#This Row],[Vl. Unitário]]</f>
        <v>155.4468</v>
      </c>
      <c r="F47" s="7" t="str">
        <f>VLOOKUP(TabelaMucambo[[#This Row],[Código+Produto]],Base!A:C,3,0)</f>
        <v>batata pre frita mp</v>
      </c>
      <c r="G47" s="8" t="str">
        <f>VLOOKUP(A47,Base!A:D,4,0)</f>
        <v>CONGELADOS</v>
      </c>
      <c r="I47" s="10" t="s">
        <v>605</v>
      </c>
      <c r="J47" s="6" t="s">
        <v>629</v>
      </c>
      <c r="K47" s="6" t="s">
        <v>10</v>
      </c>
      <c r="L47" s="3">
        <v>27</v>
      </c>
      <c r="M47" s="5">
        <v>1.46</v>
      </c>
      <c r="N47" s="5">
        <v>39.42</v>
      </c>
    </row>
    <row r="48" spans="1:14" x14ac:dyDescent="0.25">
      <c r="A48" s="1" t="s">
        <v>29</v>
      </c>
      <c r="B48" s="1" t="s">
        <v>1</v>
      </c>
      <c r="C48" s="3">
        <v>14</v>
      </c>
      <c r="D48" s="2">
        <v>10.596500000000001</v>
      </c>
      <c r="E48" s="2">
        <f>TabelaMucambo[[#This Row],[Qtde]]*TabelaMucambo[[#This Row],[Vl. Unitário]]</f>
        <v>148.351</v>
      </c>
      <c r="F48" s="7" t="str">
        <f>VLOOKUP(TabelaMucambo[[#This Row],[Código+Produto]],Base!A:C,3,0)</f>
        <v>batata pre frita mp</v>
      </c>
      <c r="G48" s="8" t="str">
        <f>VLOOKUP(A48,Base!A:D,4,0)</f>
        <v>CONGELADOS</v>
      </c>
      <c r="I48" s="10" t="s">
        <v>605</v>
      </c>
      <c r="J48" s="6" t="s">
        <v>620</v>
      </c>
      <c r="K48" s="6" t="s">
        <v>1248</v>
      </c>
      <c r="L48" s="3">
        <v>10</v>
      </c>
      <c r="M48" s="5">
        <v>3.58</v>
      </c>
      <c r="N48" s="5">
        <v>35.799999999999997</v>
      </c>
    </row>
    <row r="49" spans="1:14" x14ac:dyDescent="0.25">
      <c r="A49" s="1" t="s">
        <v>29</v>
      </c>
      <c r="B49" s="1" t="s">
        <v>1</v>
      </c>
      <c r="C49" s="3">
        <v>12</v>
      </c>
      <c r="D49" s="2">
        <v>10.596500000000001</v>
      </c>
      <c r="E49" s="2">
        <f>TabelaMucambo[[#This Row],[Qtde]]*TabelaMucambo[[#This Row],[Vl. Unitário]]</f>
        <v>127.15800000000002</v>
      </c>
      <c r="F49" s="7" t="str">
        <f>VLOOKUP(TabelaMucambo[[#This Row],[Código+Produto]],Base!A:C,3,0)</f>
        <v>batata pre frita mp</v>
      </c>
      <c r="G49" s="8" t="str">
        <f>VLOOKUP(A49,Base!A:D,4,0)</f>
        <v>CONGELADOS</v>
      </c>
      <c r="I49" s="9"/>
      <c r="J49" s="10"/>
      <c r="K49" s="10"/>
      <c r="L49" s="3"/>
      <c r="M49" s="5"/>
      <c r="N49" s="5"/>
    </row>
    <row r="50" spans="1:14" x14ac:dyDescent="0.25">
      <c r="A50" s="1" t="s">
        <v>29</v>
      </c>
      <c r="B50" s="1" t="s">
        <v>1</v>
      </c>
      <c r="C50" s="3">
        <v>14.7</v>
      </c>
      <c r="D50" s="2">
        <v>10.199999999999999</v>
      </c>
      <c r="E50" s="2">
        <f>TabelaMucambo[[#This Row],[Qtde]]*TabelaMucambo[[#This Row],[Vl. Unitário]]</f>
        <v>149.93999999999997</v>
      </c>
      <c r="F50" s="7" t="str">
        <f>VLOOKUP(TabelaMucambo[[#This Row],[Código+Produto]],Base!A:C,3,0)</f>
        <v>batata pre frita mp</v>
      </c>
      <c r="G50" s="8" t="str">
        <f>VLOOKUP(A50,Base!A:D,4,0)</f>
        <v>CONGELADOS</v>
      </c>
      <c r="I50" s="6" t="s">
        <v>557</v>
      </c>
      <c r="J50" s="6" t="s">
        <v>556</v>
      </c>
      <c r="K50" s="6" t="s">
        <v>1</v>
      </c>
      <c r="L50" s="3">
        <v>236.7</v>
      </c>
      <c r="M50" s="5">
        <v>12.198581249999998</v>
      </c>
      <c r="N50" s="5">
        <v>2904.4030000000002</v>
      </c>
    </row>
    <row r="51" spans="1:14" x14ac:dyDescent="0.25">
      <c r="A51" s="1" t="s">
        <v>29</v>
      </c>
      <c r="B51" s="1" t="s">
        <v>1</v>
      </c>
      <c r="C51" s="3">
        <v>12</v>
      </c>
      <c r="D51" s="2">
        <v>11.799300000000001</v>
      </c>
      <c r="E51" s="2">
        <f>TabelaMucambo[[#This Row],[Qtde]]*TabelaMucambo[[#This Row],[Vl. Unitário]]</f>
        <v>141.5916</v>
      </c>
      <c r="F51" s="7" t="str">
        <f>VLOOKUP(TabelaMucambo[[#This Row],[Código+Produto]],Base!A:C,3,0)</f>
        <v>batata pre frita mp</v>
      </c>
      <c r="G51" s="8" t="str">
        <f>VLOOKUP(A51,Base!A:D,4,0)</f>
        <v>CONGELADOS</v>
      </c>
      <c r="I51" s="9"/>
      <c r="J51" s="10"/>
      <c r="K51" s="10"/>
      <c r="L51" s="3"/>
      <c r="M51" s="5"/>
      <c r="N51" s="5"/>
    </row>
    <row r="52" spans="1:14" x14ac:dyDescent="0.25">
      <c r="A52" s="1" t="s">
        <v>29</v>
      </c>
      <c r="B52" s="1" t="s">
        <v>1</v>
      </c>
      <c r="C52" s="3">
        <v>14</v>
      </c>
      <c r="D52" s="2">
        <v>11.799300000000001</v>
      </c>
      <c r="E52" s="2">
        <f>TabelaMucambo[[#This Row],[Qtde]]*TabelaMucambo[[#This Row],[Vl. Unitário]]</f>
        <v>165.1902</v>
      </c>
      <c r="F52" s="7" t="str">
        <f>VLOOKUP(TabelaMucambo[[#This Row],[Código+Produto]],Base!A:C,3,0)</f>
        <v>batata pre frita mp</v>
      </c>
      <c r="G52" s="8" t="str">
        <f>VLOOKUP(A52,Base!A:D,4,0)</f>
        <v>CONGELADOS</v>
      </c>
      <c r="I52" s="9" t="s">
        <v>601</v>
      </c>
      <c r="J52" s="6" t="s">
        <v>711</v>
      </c>
      <c r="K52" s="6" t="s">
        <v>1</v>
      </c>
      <c r="L52" s="3">
        <v>113.89999999999999</v>
      </c>
      <c r="M52" s="5">
        <v>17</v>
      </c>
      <c r="N52" s="5">
        <v>1936.3</v>
      </c>
    </row>
    <row r="53" spans="1:14" x14ac:dyDescent="0.25">
      <c r="A53" s="1" t="s">
        <v>29</v>
      </c>
      <c r="B53" s="1" t="s">
        <v>1</v>
      </c>
      <c r="C53" s="3">
        <v>12</v>
      </c>
      <c r="D53" s="2">
        <v>11.799300000000001</v>
      </c>
      <c r="E53" s="2">
        <f>TabelaMucambo[[#This Row],[Qtde]]*TabelaMucambo[[#This Row],[Vl. Unitário]]</f>
        <v>141.5916</v>
      </c>
      <c r="F53" s="7" t="str">
        <f>VLOOKUP(TabelaMucambo[[#This Row],[Código+Produto]],Base!A:C,3,0)</f>
        <v>batata pre frita mp</v>
      </c>
      <c r="G53" s="8" t="str">
        <f>VLOOKUP(A53,Base!A:D,4,0)</f>
        <v>CONGELADOS</v>
      </c>
      <c r="I53" s="10" t="s">
        <v>601</v>
      </c>
      <c r="J53" s="6" t="s">
        <v>603</v>
      </c>
      <c r="K53" s="6" t="s">
        <v>1</v>
      </c>
      <c r="L53" s="3">
        <v>19</v>
      </c>
      <c r="M53" s="5">
        <v>33</v>
      </c>
      <c r="N53" s="5">
        <v>627</v>
      </c>
    </row>
    <row r="54" spans="1:14" x14ac:dyDescent="0.25">
      <c r="A54" s="1" t="s">
        <v>29</v>
      </c>
      <c r="B54" s="1" t="s">
        <v>1</v>
      </c>
      <c r="C54" s="3">
        <v>14</v>
      </c>
      <c r="D54" s="2">
        <v>11.799300000000001</v>
      </c>
      <c r="E54" s="2">
        <f>TabelaMucambo[[#This Row],[Qtde]]*TabelaMucambo[[#This Row],[Vl. Unitário]]</f>
        <v>165.1902</v>
      </c>
      <c r="F54" s="7" t="str">
        <f>VLOOKUP(TabelaMucambo[[#This Row],[Código+Produto]],Base!A:C,3,0)</f>
        <v>batata pre frita mp</v>
      </c>
      <c r="G54" s="8" t="str">
        <f>VLOOKUP(A54,Base!A:D,4,0)</f>
        <v>CONGELADOS</v>
      </c>
      <c r="I54" s="9"/>
      <c r="J54" s="10"/>
      <c r="K54" s="10"/>
      <c r="L54" s="3"/>
      <c r="M54" s="5"/>
      <c r="N54" s="5"/>
    </row>
    <row r="55" spans="1:14" x14ac:dyDescent="0.25">
      <c r="A55" s="1" t="s">
        <v>0</v>
      </c>
      <c r="B55" s="1" t="s">
        <v>1</v>
      </c>
      <c r="C55" s="3">
        <v>5</v>
      </c>
      <c r="D55" s="2">
        <v>6.99</v>
      </c>
      <c r="E55" s="2">
        <f>TabelaMucambo[[#This Row],[Qtde]]*TabelaMucambo[[#This Row],[Vl. Unitário]]</f>
        <v>34.950000000000003</v>
      </c>
      <c r="F55" s="7" t="str">
        <f>VLOOKUP(TabelaMucambo[[#This Row],[Código+Produto]],Base!A:C,3,0)</f>
        <v>lanche apresuntado mp</v>
      </c>
      <c r="G55" s="8" t="str">
        <f>VLOOKUP(A55,Base!A:D,4,0)</f>
        <v>EMBUTIDOS</v>
      </c>
      <c r="I55" s="9" t="s">
        <v>593</v>
      </c>
      <c r="J55" s="6" t="s">
        <v>592</v>
      </c>
      <c r="K55" s="6" t="s">
        <v>6</v>
      </c>
      <c r="L55" s="3">
        <v>242.5</v>
      </c>
      <c r="M55" s="5">
        <v>3.5</v>
      </c>
      <c r="N55" s="5">
        <v>848.75</v>
      </c>
    </row>
    <row r="56" spans="1:14" x14ac:dyDescent="0.25">
      <c r="A56" s="1" t="s">
        <v>0</v>
      </c>
      <c r="B56" s="1" t="s">
        <v>1</v>
      </c>
      <c r="C56" s="3">
        <v>7.25</v>
      </c>
      <c r="D56" s="2">
        <v>6.99</v>
      </c>
      <c r="E56" s="2">
        <f>TabelaMucambo[[#This Row],[Qtde]]*TabelaMucambo[[#This Row],[Vl. Unitário]]</f>
        <v>50.677500000000002</v>
      </c>
      <c r="F56" s="7" t="str">
        <f>VLOOKUP(TabelaMucambo[[#This Row],[Código+Produto]],Base!A:C,3,0)</f>
        <v>lanche apresuntado mp</v>
      </c>
      <c r="G56" s="8" t="str">
        <f>VLOOKUP(A56,Base!A:D,4,0)</f>
        <v>EMBUTIDOS</v>
      </c>
      <c r="I56" s="10" t="s">
        <v>593</v>
      </c>
      <c r="J56" s="6" t="s">
        <v>597</v>
      </c>
      <c r="K56" s="6" t="s">
        <v>1</v>
      </c>
      <c r="L56" s="3">
        <v>26.16</v>
      </c>
      <c r="M56" s="5">
        <v>31.181312500000004</v>
      </c>
      <c r="N56" s="5">
        <v>815.72353099999998</v>
      </c>
    </row>
    <row r="57" spans="1:14" x14ac:dyDescent="0.25">
      <c r="A57" s="1" t="s">
        <v>0</v>
      </c>
      <c r="B57" s="1" t="s">
        <v>1</v>
      </c>
      <c r="C57" s="3">
        <v>5.05</v>
      </c>
      <c r="D57" s="2">
        <v>7.19</v>
      </c>
      <c r="E57" s="2">
        <f>TabelaMucambo[[#This Row],[Qtde]]*TabelaMucambo[[#This Row],[Vl. Unitário]]</f>
        <v>36.3095</v>
      </c>
      <c r="F57" s="7" t="str">
        <f>VLOOKUP(TabelaMucambo[[#This Row],[Código+Produto]],Base!A:C,3,0)</f>
        <v>lanche apresuntado mp</v>
      </c>
      <c r="G57" s="8" t="str">
        <f>VLOOKUP(A57,Base!A:D,4,0)</f>
        <v>EMBUTIDOS</v>
      </c>
      <c r="I57" s="10" t="s">
        <v>593</v>
      </c>
      <c r="J57" s="6" t="s">
        <v>595</v>
      </c>
      <c r="K57" s="6" t="s">
        <v>1</v>
      </c>
      <c r="L57" s="3">
        <v>42</v>
      </c>
      <c r="M57" s="5">
        <v>8.33</v>
      </c>
      <c r="N57" s="5">
        <v>349.86</v>
      </c>
    </row>
    <row r="58" spans="1:14" x14ac:dyDescent="0.25">
      <c r="A58" s="1" t="s">
        <v>0</v>
      </c>
      <c r="B58" s="1" t="s">
        <v>1</v>
      </c>
      <c r="C58" s="3">
        <v>5</v>
      </c>
      <c r="D58" s="2">
        <v>7.19</v>
      </c>
      <c r="E58" s="2">
        <f>TabelaMucambo[[#This Row],[Qtde]]*TabelaMucambo[[#This Row],[Vl. Unitário]]</f>
        <v>35.950000000000003</v>
      </c>
      <c r="F58" s="7" t="str">
        <f>VLOOKUP(TabelaMucambo[[#This Row],[Código+Produto]],Base!A:C,3,0)</f>
        <v>lanche apresuntado mp</v>
      </c>
      <c r="G58" s="8" t="str">
        <f>VLOOKUP(A58,Base!A:D,4,0)</f>
        <v>EMBUTIDOS</v>
      </c>
      <c r="I58" s="10" t="s">
        <v>593</v>
      </c>
      <c r="J58" s="6" t="s">
        <v>596</v>
      </c>
      <c r="K58" s="6" t="s">
        <v>1</v>
      </c>
      <c r="L58" s="3">
        <v>9.9499999999999993</v>
      </c>
      <c r="M58" s="5">
        <v>26.009950000000003</v>
      </c>
      <c r="N58" s="5">
        <v>247.75834000000003</v>
      </c>
    </row>
    <row r="59" spans="1:14" x14ac:dyDescent="0.25">
      <c r="A59" s="1" t="s">
        <v>0</v>
      </c>
      <c r="B59" s="1" t="s">
        <v>1</v>
      </c>
      <c r="C59" s="3">
        <v>7.05</v>
      </c>
      <c r="D59" s="2">
        <v>7.19</v>
      </c>
      <c r="E59" s="2">
        <f>TabelaMucambo[[#This Row],[Qtde]]*TabelaMucambo[[#This Row],[Vl. Unitário]]</f>
        <v>50.689500000000002</v>
      </c>
      <c r="F59" s="40" t="str">
        <f>VLOOKUP(TabelaMucambo[[#This Row],[Código+Produto]],Base!A:C,3,0)</f>
        <v>lanche apresuntado mp</v>
      </c>
      <c r="G59" s="8" t="str">
        <f>VLOOKUP(A59,Base!A:D,4,0)</f>
        <v>EMBUTIDOS</v>
      </c>
      <c r="I59" s="10" t="s">
        <v>593</v>
      </c>
      <c r="J59" s="6" t="s">
        <v>846</v>
      </c>
      <c r="K59" s="6" t="s">
        <v>1</v>
      </c>
      <c r="L59" s="3">
        <v>3.6</v>
      </c>
      <c r="M59" s="5">
        <v>24.222200000000001</v>
      </c>
      <c r="N59" s="5">
        <v>87.199920000000006</v>
      </c>
    </row>
    <row r="60" spans="1:14" x14ac:dyDescent="0.25">
      <c r="A60" s="1" t="s">
        <v>0</v>
      </c>
      <c r="B60" s="1" t="s">
        <v>1</v>
      </c>
      <c r="C60" s="3">
        <v>5</v>
      </c>
      <c r="D60" s="2">
        <v>7.19</v>
      </c>
      <c r="E60" s="2">
        <f>TabelaMucambo[[#This Row],[Qtde]]*TabelaMucambo[[#This Row],[Vl. Unitário]]</f>
        <v>35.950000000000003</v>
      </c>
      <c r="F60" s="40" t="str">
        <f>VLOOKUP(TabelaMucambo[[#This Row],[Código+Produto]],Base!A:C,3,0)</f>
        <v>lanche apresuntado mp</v>
      </c>
      <c r="G60" s="8" t="str">
        <f>VLOOKUP(A60,Base!A:D,4,0)</f>
        <v>EMBUTIDOS</v>
      </c>
      <c r="I60" s="10" t="s">
        <v>593</v>
      </c>
      <c r="J60" s="6" t="s">
        <v>594</v>
      </c>
      <c r="K60" s="6" t="s">
        <v>1245</v>
      </c>
      <c r="L60" s="3">
        <v>12</v>
      </c>
      <c r="M60" s="5">
        <v>6.44</v>
      </c>
      <c r="N60" s="5">
        <v>77.28</v>
      </c>
    </row>
    <row r="61" spans="1:14" x14ac:dyDescent="0.25">
      <c r="A61" s="1" t="s">
        <v>1194</v>
      </c>
      <c r="B61" s="1" t="s">
        <v>1</v>
      </c>
      <c r="C61" s="3">
        <v>10</v>
      </c>
      <c r="D61" s="2">
        <v>18.53</v>
      </c>
      <c r="E61" s="2">
        <f>TabelaMucambo[[#This Row],[Qtde]]*TabelaMucambo[[#This Row],[Vl. Unitário]]</f>
        <v>185.3</v>
      </c>
      <c r="F61" s="7" t="str">
        <f>VLOOKUP(TabelaMucambo[[#This Row],[Código+Produto]],Base!A:C,3,0)</f>
        <v>linguica suina mp</v>
      </c>
      <c r="G61" s="8" t="str">
        <f>VLOOKUP(A61,Base!A:D,4,0)</f>
        <v>EMBUTIDOS</v>
      </c>
      <c r="I61" s="9"/>
      <c r="J61" s="10"/>
      <c r="K61" s="10"/>
      <c r="L61" s="3"/>
      <c r="M61" s="5"/>
      <c r="N61" s="5"/>
    </row>
    <row r="62" spans="1:14" x14ac:dyDescent="0.25">
      <c r="A62" s="1" t="s">
        <v>1194</v>
      </c>
      <c r="B62" s="1" t="s">
        <v>1</v>
      </c>
      <c r="C62" s="3">
        <v>10</v>
      </c>
      <c r="D62" s="2">
        <v>16.655000000000001</v>
      </c>
      <c r="E62" s="2">
        <f>TabelaMucambo[[#This Row],[Qtde]]*TabelaMucambo[[#This Row],[Vl. Unitário]]</f>
        <v>166.55</v>
      </c>
      <c r="F62" s="7" t="str">
        <f>VLOOKUP(TabelaMucambo[[#This Row],[Código+Produto]],Base!A:C,3,0)</f>
        <v>linguica suina mp</v>
      </c>
      <c r="G62" s="8" t="str">
        <f>VLOOKUP(A62,Base!A:D,4,0)</f>
        <v>EMBUTIDOS</v>
      </c>
      <c r="I62" s="9" t="s">
        <v>671</v>
      </c>
      <c r="J62" s="6" t="s">
        <v>697</v>
      </c>
      <c r="K62" s="6" t="s">
        <v>6</v>
      </c>
      <c r="L62" s="3">
        <v>124</v>
      </c>
      <c r="M62" s="5">
        <v>6.7931733333333328</v>
      </c>
      <c r="N62" s="5">
        <v>842.35359999999991</v>
      </c>
    </row>
    <row r="63" spans="1:14" x14ac:dyDescent="0.25">
      <c r="A63" s="1" t="s">
        <v>1194</v>
      </c>
      <c r="B63" s="1" t="s">
        <v>1</v>
      </c>
      <c r="C63" s="3">
        <v>10</v>
      </c>
      <c r="D63" s="2">
        <v>16.655000000000001</v>
      </c>
      <c r="E63" s="2">
        <f>TabelaMucambo[[#This Row],[Qtde]]*TabelaMucambo[[#This Row],[Vl. Unitário]]</f>
        <v>166.55</v>
      </c>
      <c r="F63" s="7" t="str">
        <f>VLOOKUP(TabelaMucambo[[#This Row],[Código+Produto]],Base!A:C,3,0)</f>
        <v>linguica suina mp</v>
      </c>
      <c r="G63" s="8" t="str">
        <f>VLOOKUP(A63,Base!A:D,4,0)</f>
        <v>EMBUTIDOS</v>
      </c>
      <c r="I63" s="10" t="s">
        <v>671</v>
      </c>
      <c r="J63" s="6" t="s">
        <v>695</v>
      </c>
      <c r="K63" s="6" t="s">
        <v>6</v>
      </c>
      <c r="L63" s="3">
        <v>29.55</v>
      </c>
      <c r="M63" s="5">
        <v>6.4554</v>
      </c>
      <c r="N63" s="5">
        <v>190.71651000000003</v>
      </c>
    </row>
    <row r="64" spans="1:14" x14ac:dyDescent="0.25">
      <c r="A64" s="1" t="s">
        <v>1194</v>
      </c>
      <c r="B64" s="1" t="s">
        <v>1</v>
      </c>
      <c r="C64" s="3">
        <v>5</v>
      </c>
      <c r="D64" s="2">
        <v>16.655000000000001</v>
      </c>
      <c r="E64" s="2">
        <f>TabelaMucambo[[#This Row],[Qtde]]*TabelaMucambo[[#This Row],[Vl. Unitário]]</f>
        <v>83.275000000000006</v>
      </c>
      <c r="F64" s="7" t="str">
        <f>VLOOKUP(TabelaMucambo[[#This Row],[Código+Produto]],Base!A:C,3,0)</f>
        <v>linguica suina mp</v>
      </c>
      <c r="G64" s="8" t="str">
        <f>VLOOKUP(A64,Base!A:D,4,0)</f>
        <v>EMBUTIDOS</v>
      </c>
      <c r="I64" s="10" t="s">
        <v>671</v>
      </c>
      <c r="J64" s="6" t="s">
        <v>847</v>
      </c>
      <c r="K64" s="6" t="s">
        <v>1</v>
      </c>
      <c r="L64" s="3">
        <v>36.800000000000004</v>
      </c>
      <c r="M64" s="5">
        <v>4.9016000000000011</v>
      </c>
      <c r="N64" s="5">
        <v>180.37888000000001</v>
      </c>
    </row>
    <row r="65" spans="1:14" x14ac:dyDescent="0.25">
      <c r="A65" s="1" t="s">
        <v>1194</v>
      </c>
      <c r="B65" s="1" t="s">
        <v>1</v>
      </c>
      <c r="C65" s="3">
        <v>10</v>
      </c>
      <c r="D65" s="2">
        <v>17.13</v>
      </c>
      <c r="E65" s="2">
        <f>TabelaMucambo[[#This Row],[Qtde]]*TabelaMucambo[[#This Row],[Vl. Unitário]]</f>
        <v>171.29999999999998</v>
      </c>
      <c r="F65" s="7" t="str">
        <f>VLOOKUP(TabelaMucambo[[#This Row],[Código+Produto]],Base!A:C,3,0)</f>
        <v>linguica suina mp</v>
      </c>
      <c r="G65" s="8" t="str">
        <f>VLOOKUP(A65,Base!A:D,4,0)</f>
        <v>EMBUTIDOS</v>
      </c>
      <c r="I65" s="10" t="s">
        <v>671</v>
      </c>
      <c r="J65" s="6" t="s">
        <v>689</v>
      </c>
      <c r="K65" s="6" t="s">
        <v>1</v>
      </c>
      <c r="L65" s="3">
        <v>12</v>
      </c>
      <c r="M65" s="5">
        <v>11.666666666666666</v>
      </c>
      <c r="N65" s="5">
        <v>140.80000000000001</v>
      </c>
    </row>
    <row r="66" spans="1:14" x14ac:dyDescent="0.25">
      <c r="A66" s="1" t="s">
        <v>1194</v>
      </c>
      <c r="B66" s="1" t="s">
        <v>1</v>
      </c>
      <c r="C66" s="3">
        <v>5</v>
      </c>
      <c r="D66" s="2">
        <v>17.13</v>
      </c>
      <c r="E66" s="2">
        <f>TabelaMucambo[[#This Row],[Qtde]]*TabelaMucambo[[#This Row],[Vl. Unitário]]</f>
        <v>85.649999999999991</v>
      </c>
      <c r="F66" s="7" t="str">
        <f>VLOOKUP(TabelaMucambo[[#This Row],[Código+Produto]],Base!A:C,3,0)</f>
        <v>linguica suina mp</v>
      </c>
      <c r="G66" s="8" t="str">
        <f>VLOOKUP(A66,Base!A:D,4,0)</f>
        <v>EMBUTIDOS</v>
      </c>
      <c r="I66" s="10" t="s">
        <v>671</v>
      </c>
      <c r="J66" s="6" t="s">
        <v>693</v>
      </c>
      <c r="K66" s="6" t="s">
        <v>1</v>
      </c>
      <c r="L66" s="3">
        <v>33.85</v>
      </c>
      <c r="M66" s="5">
        <v>3.6436000000000002</v>
      </c>
      <c r="N66" s="5">
        <v>123.17010999999999</v>
      </c>
    </row>
    <row r="67" spans="1:14" x14ac:dyDescent="0.25">
      <c r="A67" s="1" t="s">
        <v>1194</v>
      </c>
      <c r="B67" s="1" t="s">
        <v>1</v>
      </c>
      <c r="C67" s="3">
        <v>5</v>
      </c>
      <c r="D67" s="2">
        <v>17.13</v>
      </c>
      <c r="E67" s="2">
        <f>TabelaMucambo[[#This Row],[Qtde]]*TabelaMucambo[[#This Row],[Vl. Unitário]]</f>
        <v>85.649999999999991</v>
      </c>
      <c r="F67" s="7" t="str">
        <f>VLOOKUP(TabelaMucambo[[#This Row],[Código+Produto]],Base!A:C,3,0)</f>
        <v>linguica suina mp</v>
      </c>
      <c r="G67" s="8" t="str">
        <f>VLOOKUP(A67,Base!A:D,4,0)</f>
        <v>EMBUTIDOS</v>
      </c>
      <c r="I67" s="10" t="s">
        <v>671</v>
      </c>
      <c r="J67" s="6" t="s">
        <v>682</v>
      </c>
      <c r="K67" s="6" t="s">
        <v>1</v>
      </c>
      <c r="L67" s="3">
        <v>7.75</v>
      </c>
      <c r="M67" s="5">
        <v>15</v>
      </c>
      <c r="N67" s="5">
        <v>116.25</v>
      </c>
    </row>
    <row r="68" spans="1:14" x14ac:dyDescent="0.25">
      <c r="A68" s="1" t="s">
        <v>1194</v>
      </c>
      <c r="B68" s="1" t="s">
        <v>1</v>
      </c>
      <c r="C68" s="3">
        <v>10</v>
      </c>
      <c r="D68" s="2">
        <v>16.655000000000001</v>
      </c>
      <c r="E68" s="2">
        <f>TabelaMucambo[[#This Row],[Qtde]]*TabelaMucambo[[#This Row],[Vl. Unitário]]</f>
        <v>166.55</v>
      </c>
      <c r="F68" s="7" t="str">
        <f>VLOOKUP(TabelaMucambo[[#This Row],[Código+Produto]],Base!A:C,3,0)</f>
        <v>linguica suina mp</v>
      </c>
      <c r="G68" s="8" t="str">
        <f>VLOOKUP(A68,Base!A:D,4,0)</f>
        <v>EMBUTIDOS</v>
      </c>
      <c r="I68" s="10" t="s">
        <v>671</v>
      </c>
      <c r="J68" s="6" t="s">
        <v>692</v>
      </c>
      <c r="K68" s="6" t="s">
        <v>1</v>
      </c>
      <c r="L68" s="3">
        <v>29.150000000000002</v>
      </c>
      <c r="M68" s="5">
        <v>3.6425333333333332</v>
      </c>
      <c r="N68" s="5">
        <v>106.15427</v>
      </c>
    </row>
    <row r="69" spans="1:14" x14ac:dyDescent="0.25">
      <c r="A69" s="1" t="s">
        <v>1194</v>
      </c>
      <c r="B69" s="1" t="s">
        <v>1</v>
      </c>
      <c r="C69" s="3">
        <v>5</v>
      </c>
      <c r="D69" s="2">
        <v>16.655000000000001</v>
      </c>
      <c r="E69" s="2">
        <f>TabelaMucambo[[#This Row],[Qtde]]*TabelaMucambo[[#This Row],[Vl. Unitário]]</f>
        <v>83.275000000000006</v>
      </c>
      <c r="F69" s="7" t="str">
        <f>VLOOKUP(TabelaMucambo[[#This Row],[Código+Produto]],Base!A:C,3,0)</f>
        <v>linguica suina mp</v>
      </c>
      <c r="G69" s="8" t="str">
        <f>VLOOKUP(A69,Base!A:D,4,0)</f>
        <v>EMBUTIDOS</v>
      </c>
      <c r="I69" s="10" t="s">
        <v>671</v>
      </c>
      <c r="J69" s="6" t="s">
        <v>698</v>
      </c>
      <c r="K69" s="6" t="s">
        <v>6</v>
      </c>
      <c r="L69" s="3">
        <v>11</v>
      </c>
      <c r="M69" s="5">
        <v>5.333333333333333</v>
      </c>
      <c r="N69" s="5">
        <v>60</v>
      </c>
    </row>
    <row r="70" spans="1:14" x14ac:dyDescent="0.25">
      <c r="A70" s="1" t="s">
        <v>1194</v>
      </c>
      <c r="B70" s="1" t="s">
        <v>1</v>
      </c>
      <c r="C70" s="3">
        <v>5</v>
      </c>
      <c r="D70" s="2">
        <v>17.420000000000002</v>
      </c>
      <c r="E70" s="2">
        <f>TabelaMucambo[[#This Row],[Qtde]]*TabelaMucambo[[#This Row],[Vl. Unitário]]</f>
        <v>87.100000000000009</v>
      </c>
      <c r="F70" s="7" t="str">
        <f>VLOOKUP(TabelaMucambo[[#This Row],[Código+Produto]],Base!A:C,3,0)</f>
        <v>linguica suina mp</v>
      </c>
      <c r="G70" s="8" t="str">
        <f>VLOOKUP(A70,Base!A:D,4,0)</f>
        <v>EMBUTIDOS</v>
      </c>
      <c r="I70" s="10" t="s">
        <v>671</v>
      </c>
      <c r="J70" s="6" t="s">
        <v>758</v>
      </c>
      <c r="K70" s="6" t="s">
        <v>1</v>
      </c>
      <c r="L70" s="3">
        <v>9.4600000000000009</v>
      </c>
      <c r="M70" s="5">
        <v>5.5</v>
      </c>
      <c r="N70" s="5">
        <v>51.36</v>
      </c>
    </row>
    <row r="71" spans="1:14" x14ac:dyDescent="0.25">
      <c r="A71" s="1" t="s">
        <v>1194</v>
      </c>
      <c r="B71" s="1" t="s">
        <v>1</v>
      </c>
      <c r="C71" s="3">
        <v>5</v>
      </c>
      <c r="D71" s="2">
        <v>17.420000000000002</v>
      </c>
      <c r="E71" s="2">
        <f>TabelaMucambo[[#This Row],[Qtde]]*TabelaMucambo[[#This Row],[Vl. Unitário]]</f>
        <v>87.100000000000009</v>
      </c>
      <c r="F71" s="40" t="str">
        <f>VLOOKUP(TabelaMucambo[[#This Row],[Código+Produto]],Base!A:C,3,0)</f>
        <v>linguica suina mp</v>
      </c>
      <c r="G71" s="8" t="str">
        <f>VLOOKUP(A71,Base!A:D,4,0)</f>
        <v>EMBUTIDOS</v>
      </c>
      <c r="I71" s="9"/>
      <c r="J71" s="10"/>
      <c r="K71" s="10"/>
      <c r="L71" s="3"/>
      <c r="M71" s="5"/>
      <c r="N71" s="5"/>
    </row>
    <row r="72" spans="1:14" x14ac:dyDescent="0.25">
      <c r="A72" s="1" t="s">
        <v>30</v>
      </c>
      <c r="B72" s="1" t="s">
        <v>1</v>
      </c>
      <c r="C72" s="3">
        <v>15</v>
      </c>
      <c r="D72" s="2">
        <v>17.414999999999999</v>
      </c>
      <c r="E72" s="2">
        <f>TabelaMucambo[[#This Row],[Qtde]]*TabelaMucambo[[#This Row],[Vl. Unitário]]</f>
        <v>261.22499999999997</v>
      </c>
      <c r="F72" s="7" t="str">
        <f>VLOOKUP(TabelaMucambo[[#This Row],[Código+Produto]],Base!A:C,3,0)</f>
        <v>file de peito de frango mp</v>
      </c>
      <c r="G72" s="8" t="str">
        <f>VLOOKUP(A72,Base!A:D,4,0)</f>
        <v>FRANGOS E DERIVADOS</v>
      </c>
      <c r="I72" s="9" t="s">
        <v>562</v>
      </c>
      <c r="J72" s="6" t="s">
        <v>565</v>
      </c>
      <c r="K72" s="6" t="s">
        <v>1</v>
      </c>
      <c r="L72" s="3">
        <v>80</v>
      </c>
      <c r="M72" s="5">
        <v>17.094090909090912</v>
      </c>
      <c r="N72" s="5">
        <v>1368.3</v>
      </c>
    </row>
    <row r="73" spans="1:14" x14ac:dyDescent="0.25">
      <c r="A73" s="1" t="s">
        <v>30</v>
      </c>
      <c r="B73" s="1" t="s">
        <v>1</v>
      </c>
      <c r="C73" s="3">
        <v>28</v>
      </c>
      <c r="D73" s="2">
        <v>17.414999999999999</v>
      </c>
      <c r="E73" s="2">
        <f>TabelaMucambo[[#This Row],[Qtde]]*TabelaMucambo[[#This Row],[Vl. Unitário]]</f>
        <v>487.62</v>
      </c>
      <c r="F73" s="7" t="str">
        <f>VLOOKUP(TabelaMucambo[[#This Row],[Código+Produto]],Base!A:C,3,0)</f>
        <v>file de peito de frango mp</v>
      </c>
      <c r="G73" s="8" t="str">
        <f>VLOOKUP(A73,Base!A:D,4,0)</f>
        <v>FRANGOS E DERIVADOS</v>
      </c>
      <c r="I73" s="10" t="s">
        <v>562</v>
      </c>
      <c r="J73" s="6" t="s">
        <v>563</v>
      </c>
      <c r="K73" s="6" t="s">
        <v>1</v>
      </c>
      <c r="L73" s="3">
        <v>34.35</v>
      </c>
      <c r="M73" s="5">
        <v>7.123333333333334</v>
      </c>
      <c r="N73" s="5">
        <v>244.5265</v>
      </c>
    </row>
    <row r="74" spans="1:14" x14ac:dyDescent="0.25">
      <c r="A74" s="1" t="s">
        <v>30</v>
      </c>
      <c r="B74" s="1" t="s">
        <v>1</v>
      </c>
      <c r="C74" s="3">
        <v>30</v>
      </c>
      <c r="D74" s="2">
        <v>17.414999999999999</v>
      </c>
      <c r="E74" s="2">
        <f>TabelaMucambo[[#This Row],[Qtde]]*TabelaMucambo[[#This Row],[Vl. Unitário]]</f>
        <v>522.44999999999993</v>
      </c>
      <c r="F74" s="7" t="str">
        <f>VLOOKUP(TabelaMucambo[[#This Row],[Código+Produto]],Base!A:C,3,0)</f>
        <v>file de peito de frango mp</v>
      </c>
      <c r="G74" s="8" t="str">
        <f>VLOOKUP(A74,Base!A:D,4,0)</f>
        <v>FRANGOS E DERIVADOS</v>
      </c>
      <c r="I74" s="9"/>
      <c r="J74" s="10"/>
      <c r="K74" s="10"/>
      <c r="L74" s="3"/>
      <c r="M74" s="5"/>
      <c r="N74" s="5"/>
    </row>
    <row r="75" spans="1:14" x14ac:dyDescent="0.25">
      <c r="A75" s="1" t="s">
        <v>30</v>
      </c>
      <c r="B75" s="1" t="s">
        <v>1</v>
      </c>
      <c r="C75" s="3">
        <v>15</v>
      </c>
      <c r="D75" s="2">
        <v>17.414999999999999</v>
      </c>
      <c r="E75" s="2">
        <f>TabelaMucambo[[#This Row],[Qtde]]*TabelaMucambo[[#This Row],[Vl. Unitário]]</f>
        <v>261.22499999999997</v>
      </c>
      <c r="F75" s="7" t="str">
        <f>VLOOKUP(TabelaMucambo[[#This Row],[Código+Produto]],Base!A:C,3,0)</f>
        <v>file de peito de frango mp</v>
      </c>
      <c r="G75" s="8" t="str">
        <f>VLOOKUP(A75,Base!A:D,4,0)</f>
        <v>FRANGOS E DERIVADOS</v>
      </c>
      <c r="I75" s="9" t="s">
        <v>656</v>
      </c>
      <c r="J75" s="9" t="s">
        <v>655</v>
      </c>
      <c r="K75" s="6" t="s">
        <v>51</v>
      </c>
      <c r="L75" s="3">
        <v>80</v>
      </c>
      <c r="M75" s="5">
        <v>7.4899999999999993</v>
      </c>
      <c r="N75" s="5">
        <v>599.20000000000005</v>
      </c>
    </row>
    <row r="76" spans="1:14" x14ac:dyDescent="0.25">
      <c r="A76" s="1" t="s">
        <v>30</v>
      </c>
      <c r="B76" s="1" t="s">
        <v>1</v>
      </c>
      <c r="C76" s="3">
        <v>20</v>
      </c>
      <c r="D76" s="2">
        <v>17.414999999999999</v>
      </c>
      <c r="E76" s="2">
        <f>TabelaMucambo[[#This Row],[Qtde]]*TabelaMucambo[[#This Row],[Vl. Unitário]]</f>
        <v>348.29999999999995</v>
      </c>
      <c r="F76" s="7" t="str">
        <f>VLOOKUP(TabelaMucambo[[#This Row],[Código+Produto]],Base!A:C,3,0)</f>
        <v>file de peito de frango mp</v>
      </c>
      <c r="G76" s="8" t="str">
        <f>VLOOKUP(A76,Base!A:D,4,0)</f>
        <v>FRANGOS E DERIVADOS</v>
      </c>
      <c r="I76" s="10" t="s">
        <v>656</v>
      </c>
      <c r="J76" s="10" t="s">
        <v>655</v>
      </c>
      <c r="K76" s="6" t="s">
        <v>6</v>
      </c>
      <c r="L76" s="3">
        <v>18</v>
      </c>
      <c r="M76" s="5">
        <v>8.3222000000000005</v>
      </c>
      <c r="N76" s="5">
        <v>149.7996</v>
      </c>
    </row>
    <row r="77" spans="1:14" x14ac:dyDescent="0.25">
      <c r="A77" s="1" t="s">
        <v>30</v>
      </c>
      <c r="B77" s="1" t="s">
        <v>1</v>
      </c>
      <c r="C77" s="3">
        <v>15</v>
      </c>
      <c r="D77" s="2">
        <v>17.414999999999999</v>
      </c>
      <c r="E77" s="2">
        <f>TabelaMucambo[[#This Row],[Qtde]]*TabelaMucambo[[#This Row],[Vl. Unitário]]</f>
        <v>261.22499999999997</v>
      </c>
      <c r="F77" s="7" t="str">
        <f>VLOOKUP(TabelaMucambo[[#This Row],[Código+Produto]],Base!A:C,3,0)</f>
        <v>file de peito de frango mp</v>
      </c>
      <c r="G77" s="8" t="str">
        <f>VLOOKUP(A77,Base!A:D,4,0)</f>
        <v>FRANGOS E DERIVADOS</v>
      </c>
      <c r="I77" s="9"/>
      <c r="J77" s="10"/>
      <c r="K77" s="10"/>
      <c r="L77" s="3"/>
      <c r="M77" s="5"/>
      <c r="N77" s="5"/>
    </row>
    <row r="78" spans="1:14" x14ac:dyDescent="0.25">
      <c r="A78" s="1" t="s">
        <v>30</v>
      </c>
      <c r="B78" s="1" t="s">
        <v>1</v>
      </c>
      <c r="C78" s="3">
        <v>15</v>
      </c>
      <c r="D78" s="2">
        <v>16.119</v>
      </c>
      <c r="E78" s="2">
        <f>TabelaMucambo[[#This Row],[Qtde]]*TabelaMucambo[[#This Row],[Vl. Unitário]]</f>
        <v>241.785</v>
      </c>
      <c r="F78" s="7" t="str">
        <f>VLOOKUP(TabelaMucambo[[#This Row],[Código+Produto]],Base!A:C,3,0)</f>
        <v>file de peito de frango mp</v>
      </c>
      <c r="G78" s="8" t="str">
        <f>VLOOKUP(A78,Base!A:D,4,0)</f>
        <v>FRANGOS E DERIVADOS</v>
      </c>
      <c r="I78" s="9" t="s">
        <v>113</v>
      </c>
      <c r="J78" s="6" t="s">
        <v>120</v>
      </c>
      <c r="K78" s="6" t="s">
        <v>14</v>
      </c>
      <c r="L78" s="3">
        <v>48</v>
      </c>
      <c r="M78" s="5">
        <v>9.5832999999999995</v>
      </c>
      <c r="N78" s="5">
        <v>459.99839999999995</v>
      </c>
    </row>
    <row r="79" spans="1:14" x14ac:dyDescent="0.25">
      <c r="A79" s="1" t="s">
        <v>30</v>
      </c>
      <c r="B79" s="1" t="s">
        <v>1</v>
      </c>
      <c r="C79" s="3">
        <v>15</v>
      </c>
      <c r="D79" s="2">
        <v>16.119</v>
      </c>
      <c r="E79" s="2">
        <f>TabelaMucambo[[#This Row],[Qtde]]*TabelaMucambo[[#This Row],[Vl. Unitário]]</f>
        <v>241.785</v>
      </c>
      <c r="F79" s="7" t="str">
        <f>VLOOKUP(TabelaMucambo[[#This Row],[Código+Produto]],Base!A:C,3,0)</f>
        <v>file de peito de frango mp</v>
      </c>
      <c r="G79" s="8" t="str">
        <f>VLOOKUP(A79,Base!A:D,4,0)</f>
        <v>FRANGOS E DERIVADOS</v>
      </c>
      <c r="I79" s="10" t="s">
        <v>113</v>
      </c>
      <c r="J79" s="6" t="s">
        <v>121</v>
      </c>
      <c r="K79" s="6" t="s">
        <v>14</v>
      </c>
      <c r="L79" s="3">
        <v>24</v>
      </c>
      <c r="M79" s="5">
        <v>5.9166999999999996</v>
      </c>
      <c r="N79" s="5">
        <v>142.0008</v>
      </c>
    </row>
    <row r="80" spans="1:14" x14ac:dyDescent="0.25">
      <c r="A80" s="1" t="s">
        <v>30</v>
      </c>
      <c r="B80" s="1" t="s">
        <v>1</v>
      </c>
      <c r="C80" s="3">
        <v>15</v>
      </c>
      <c r="D80" s="2">
        <v>16.119</v>
      </c>
      <c r="E80" s="2">
        <f>TabelaMucambo[[#This Row],[Qtde]]*TabelaMucambo[[#This Row],[Vl. Unitário]]</f>
        <v>241.785</v>
      </c>
      <c r="F80" s="7" t="str">
        <f>VLOOKUP(TabelaMucambo[[#This Row],[Código+Produto]],Base!A:C,3,0)</f>
        <v>file de peito de frango mp</v>
      </c>
      <c r="G80" s="8" t="str">
        <f>VLOOKUP(A80,Base!A:D,4,0)</f>
        <v>FRANGOS E DERIVADOS</v>
      </c>
      <c r="I80" s="9"/>
      <c r="J80" s="10"/>
      <c r="K80" s="10"/>
      <c r="L80" s="3"/>
      <c r="M80" s="5"/>
      <c r="N80" s="5"/>
    </row>
    <row r="81" spans="1:14" x14ac:dyDescent="0.25">
      <c r="A81" s="1" t="s">
        <v>30</v>
      </c>
      <c r="B81" s="1" t="s">
        <v>1</v>
      </c>
      <c r="C81" s="3">
        <v>30</v>
      </c>
      <c r="D81" s="2">
        <v>16.119</v>
      </c>
      <c r="E81" s="2">
        <f>TabelaMucambo[[#This Row],[Qtde]]*TabelaMucambo[[#This Row],[Vl. Unitário]]</f>
        <v>483.57</v>
      </c>
      <c r="F81" s="7" t="str">
        <f>VLOOKUP(TabelaMucambo[[#This Row],[Código+Produto]],Base!A:C,3,0)</f>
        <v>file de peito de frango mp</v>
      </c>
      <c r="G81" s="8" t="str">
        <f>VLOOKUP(A81,Base!A:D,4,0)</f>
        <v>FRANGOS E DERIVADOS</v>
      </c>
      <c r="I81" s="6" t="s">
        <v>666</v>
      </c>
      <c r="J81" s="6" t="s">
        <v>668</v>
      </c>
      <c r="K81" s="6" t="s">
        <v>1</v>
      </c>
      <c r="L81" s="3">
        <v>18</v>
      </c>
      <c r="M81" s="5">
        <v>25</v>
      </c>
      <c r="N81" s="5">
        <v>450</v>
      </c>
    </row>
    <row r="82" spans="1:14" x14ac:dyDescent="0.25">
      <c r="A82" s="1" t="s">
        <v>30</v>
      </c>
      <c r="B82" s="1" t="s">
        <v>1</v>
      </c>
      <c r="C82" s="3">
        <v>15</v>
      </c>
      <c r="D82" s="2">
        <v>16.119</v>
      </c>
      <c r="E82" s="2">
        <f>TabelaMucambo[[#This Row],[Qtde]]*TabelaMucambo[[#This Row],[Vl. Unitário]]</f>
        <v>241.785</v>
      </c>
      <c r="F82" s="7" t="str">
        <f>VLOOKUP(TabelaMucambo[[#This Row],[Código+Produto]],Base!A:C,3,0)</f>
        <v>file de peito de frango mp</v>
      </c>
      <c r="G82" s="8" t="str">
        <f>VLOOKUP(A82,Base!A:D,4,0)</f>
        <v>FRANGOS E DERIVADOS</v>
      </c>
      <c r="I82" s="9"/>
      <c r="J82" s="10"/>
      <c r="K82" s="10"/>
      <c r="L82" s="3"/>
      <c r="M82" s="5"/>
      <c r="N82" s="5"/>
    </row>
    <row r="83" spans="1:14" x14ac:dyDescent="0.25">
      <c r="A83" s="1" t="s">
        <v>30</v>
      </c>
      <c r="B83" s="1" t="s">
        <v>1</v>
      </c>
      <c r="C83" s="3">
        <v>13.3</v>
      </c>
      <c r="D83" s="2">
        <v>16.119</v>
      </c>
      <c r="E83" s="2">
        <f>TabelaMucambo[[#This Row],[Qtde]]*TabelaMucambo[[#This Row],[Vl. Unitário]]</f>
        <v>214.3827</v>
      </c>
      <c r="F83" s="7" t="str">
        <f>VLOOKUP(TabelaMucambo[[#This Row],[Código+Produto]],Base!A:C,3,0)</f>
        <v>file de peito de frango mp</v>
      </c>
      <c r="G83" s="8" t="str">
        <f>VLOOKUP(A83,Base!A:D,4,0)</f>
        <v>FRANGOS E DERIVADOS</v>
      </c>
      <c r="I83" s="9" t="s">
        <v>728</v>
      </c>
      <c r="J83" s="6" t="s">
        <v>741</v>
      </c>
      <c r="K83" s="6" t="s">
        <v>10</v>
      </c>
      <c r="L83" s="3">
        <v>127</v>
      </c>
      <c r="M83" s="5">
        <v>2.2166666666666668</v>
      </c>
      <c r="N83" s="5">
        <v>284.17999999999995</v>
      </c>
    </row>
    <row r="84" spans="1:14" x14ac:dyDescent="0.25">
      <c r="A84" s="1" t="s">
        <v>30</v>
      </c>
      <c r="B84" s="1" t="s">
        <v>1</v>
      </c>
      <c r="C84" s="3">
        <v>15</v>
      </c>
      <c r="D84" s="2">
        <v>16.119</v>
      </c>
      <c r="E84" s="2">
        <f>TabelaMucambo[[#This Row],[Qtde]]*TabelaMucambo[[#This Row],[Vl. Unitário]]</f>
        <v>241.785</v>
      </c>
      <c r="F84" s="40" t="str">
        <f>VLOOKUP(TabelaMucambo[[#This Row],[Código+Produto]],Base!A:C,3,0)</f>
        <v>file de peito de frango mp</v>
      </c>
      <c r="G84" s="8" t="str">
        <f>VLOOKUP(A84,Base!A:D,4,0)</f>
        <v>FRANGOS E DERIVADOS</v>
      </c>
      <c r="I84" s="10" t="s">
        <v>728</v>
      </c>
      <c r="J84" s="6" t="s">
        <v>736</v>
      </c>
      <c r="K84" s="6" t="s">
        <v>6</v>
      </c>
      <c r="L84" s="3">
        <v>48</v>
      </c>
      <c r="M84" s="5">
        <v>1.54</v>
      </c>
      <c r="N84" s="5">
        <v>73.92</v>
      </c>
    </row>
    <row r="85" spans="1:14" x14ac:dyDescent="0.25">
      <c r="A85" s="1" t="s">
        <v>30</v>
      </c>
      <c r="B85" s="1" t="s">
        <v>1</v>
      </c>
      <c r="C85" s="3">
        <v>18.326000000000001</v>
      </c>
      <c r="D85" s="2">
        <v>16.119</v>
      </c>
      <c r="E85" s="2">
        <f>TabelaMucambo[[#This Row],[Qtde]]*TabelaMucambo[[#This Row],[Vl. Unitário]]</f>
        <v>295.396794</v>
      </c>
      <c r="F85" s="40" t="str">
        <f>VLOOKUP(TabelaMucambo[[#This Row],[Código+Produto]],Base!A:C,3,0)</f>
        <v>file de peito de frango mp</v>
      </c>
      <c r="G85" s="8" t="str">
        <f>VLOOKUP(A85,Base!A:D,4,0)</f>
        <v>FRANGOS E DERIVADOS</v>
      </c>
      <c r="I85" s="10" t="s">
        <v>728</v>
      </c>
      <c r="J85" s="6" t="s">
        <v>747</v>
      </c>
      <c r="K85" s="6" t="s">
        <v>1204</v>
      </c>
      <c r="L85" s="3">
        <v>8</v>
      </c>
      <c r="M85" s="5">
        <v>3.3800000000000003</v>
      </c>
      <c r="N85" s="5">
        <v>27.04</v>
      </c>
    </row>
    <row r="86" spans="1:14" x14ac:dyDescent="0.25">
      <c r="A86" s="1" t="s">
        <v>22</v>
      </c>
      <c r="B86" s="1" t="s">
        <v>1</v>
      </c>
      <c r="C86" s="3">
        <v>2.75</v>
      </c>
      <c r="D86" s="2">
        <v>9.9708000000000006</v>
      </c>
      <c r="E86" s="2">
        <f>TabelaMucambo[[#This Row],[Qtde]]*TabelaMucambo[[#This Row],[Vl. Unitário]]</f>
        <v>27.419700000000002</v>
      </c>
      <c r="F86" s="7" t="str">
        <f>VLOOKUP(TabelaMucambo[[#This Row],[Código+Produto]],Base!A:C,3,0)</f>
        <v>frango inteiro mp</v>
      </c>
      <c r="G86" s="8" t="str">
        <f>VLOOKUP(A86,Base!A:D,4,0)</f>
        <v>FRANGOS E DERIVADOS</v>
      </c>
      <c r="I86" s="10" t="s">
        <v>728</v>
      </c>
      <c r="J86" s="6" t="s">
        <v>742</v>
      </c>
      <c r="K86" s="6" t="s">
        <v>14</v>
      </c>
      <c r="L86" s="3">
        <v>20</v>
      </c>
      <c r="M86" s="5">
        <v>0.7</v>
      </c>
      <c r="N86" s="5">
        <v>14</v>
      </c>
    </row>
    <row r="87" spans="1:14" x14ac:dyDescent="0.25">
      <c r="A87" s="1" t="s">
        <v>22</v>
      </c>
      <c r="B87" s="1" t="s">
        <v>1</v>
      </c>
      <c r="C87" s="3">
        <v>2.5</v>
      </c>
      <c r="D87" s="2">
        <v>9.9708000000000006</v>
      </c>
      <c r="E87" s="2">
        <f>TabelaMucambo[[#This Row],[Qtde]]*TabelaMucambo[[#This Row],[Vl. Unitário]]</f>
        <v>24.927</v>
      </c>
      <c r="F87" s="7" t="str">
        <f>VLOOKUP(TabelaMucambo[[#This Row],[Código+Produto]],Base!A:C,3,0)</f>
        <v>frango inteiro mp</v>
      </c>
      <c r="G87" s="8" t="str">
        <f>VLOOKUP(A87,Base!A:D,4,0)</f>
        <v>FRANGOS E DERIVADOS</v>
      </c>
      <c r="I87" s="9"/>
      <c r="J87" s="10"/>
      <c r="K87" s="10"/>
      <c r="L87" s="3"/>
      <c r="M87" s="5"/>
      <c r="N87" s="5"/>
    </row>
    <row r="88" spans="1:14" x14ac:dyDescent="0.25">
      <c r="A88" s="1" t="s">
        <v>22</v>
      </c>
      <c r="B88" s="1" t="s">
        <v>1</v>
      </c>
      <c r="C88" s="3">
        <v>3.15</v>
      </c>
      <c r="D88" s="2">
        <v>9.9708000000000006</v>
      </c>
      <c r="E88" s="2">
        <f>TabelaMucambo[[#This Row],[Qtde]]*TabelaMucambo[[#This Row],[Vl. Unitário]]</f>
        <v>31.40802</v>
      </c>
      <c r="F88" s="7" t="str">
        <f>VLOOKUP(TabelaMucambo[[#This Row],[Código+Produto]],Base!A:C,3,0)</f>
        <v>frango inteiro mp</v>
      </c>
      <c r="G88" s="8" t="str">
        <f>VLOOKUP(A88,Base!A:D,4,0)</f>
        <v>FRANGOS E DERIVADOS</v>
      </c>
      <c r="I88" s="9" t="s">
        <v>85</v>
      </c>
      <c r="J88" s="6" t="s">
        <v>86</v>
      </c>
      <c r="K88" s="6" t="s">
        <v>14</v>
      </c>
      <c r="L88" s="3">
        <v>12</v>
      </c>
      <c r="M88" s="5">
        <v>6.6666999999999996</v>
      </c>
      <c r="N88" s="5">
        <v>80.000399999999999</v>
      </c>
    </row>
    <row r="89" spans="1:14" x14ac:dyDescent="0.25">
      <c r="A89" s="1" t="s">
        <v>22</v>
      </c>
      <c r="B89" s="1" t="s">
        <v>1</v>
      </c>
      <c r="C89" s="3">
        <v>2.2000000000000002</v>
      </c>
      <c r="D89" s="2">
        <v>9.9708000000000006</v>
      </c>
      <c r="E89" s="2">
        <f>TabelaMucambo[[#This Row],[Qtde]]*TabelaMucambo[[#This Row],[Vl. Unitário]]</f>
        <v>21.935760000000002</v>
      </c>
      <c r="F89" s="7" t="str">
        <f>VLOOKUP(TabelaMucambo[[#This Row],[Código+Produto]],Base!A:C,3,0)</f>
        <v>frango inteiro mp</v>
      </c>
      <c r="G89" s="8" t="str">
        <f>VLOOKUP(A89,Base!A:D,4,0)</f>
        <v>FRANGOS E DERIVADOS</v>
      </c>
      <c r="I89" s="10" t="s">
        <v>85</v>
      </c>
      <c r="J89" s="6" t="s">
        <v>93</v>
      </c>
      <c r="K89" s="6" t="s">
        <v>14</v>
      </c>
      <c r="L89" s="3">
        <v>24</v>
      </c>
      <c r="M89" s="5">
        <v>2.6442000000000001</v>
      </c>
      <c r="N89" s="5">
        <v>63.460800000000006</v>
      </c>
    </row>
    <row r="90" spans="1:14" x14ac:dyDescent="0.25">
      <c r="A90" s="1" t="s">
        <v>1208</v>
      </c>
      <c r="B90" s="1" t="s">
        <v>14</v>
      </c>
      <c r="C90" s="3">
        <v>60</v>
      </c>
      <c r="D90" s="2">
        <v>0.56669999999999998</v>
      </c>
      <c r="E90" s="2">
        <f>TabelaMucambo[[#This Row],[Qtde]]*TabelaMucambo[[#This Row],[Vl. Unitário]]</f>
        <v>34.001999999999995</v>
      </c>
      <c r="F90" s="7" t="str">
        <f>VLOOKUP(TabelaMucambo[[#This Row],[Código+Produto]],Base!A:C,3,0)</f>
        <v>ovo mp</v>
      </c>
      <c r="G90" s="8" t="str">
        <f>VLOOKUP(A90,Base!A:D,4,0)</f>
        <v>FRANGOS E DERIVADOS</v>
      </c>
      <c r="I90" s="9"/>
      <c r="J90" s="10"/>
      <c r="K90" s="10"/>
      <c r="L90" s="3"/>
      <c r="M90" s="5"/>
      <c r="N90" s="5"/>
    </row>
    <row r="91" spans="1:14" x14ac:dyDescent="0.25">
      <c r="A91" s="1" t="s">
        <v>1208</v>
      </c>
      <c r="B91" s="1" t="s">
        <v>1209</v>
      </c>
      <c r="C91" s="3">
        <v>4</v>
      </c>
      <c r="D91" s="2">
        <v>17.001000000000001</v>
      </c>
      <c r="E91" s="2">
        <f>TabelaMucambo[[#This Row],[Qtde]]*TabelaMucambo[[#This Row],[Vl. Unitário]]</f>
        <v>68.004000000000005</v>
      </c>
      <c r="F91" s="7" t="str">
        <f>VLOOKUP(TabelaMucambo[[#This Row],[Código+Produto]],Base!A:C,3,0)</f>
        <v>ovo mp</v>
      </c>
      <c r="G91" s="8" t="str">
        <f>VLOOKUP(A91,Base!A:D,4,0)</f>
        <v>FRANGOS E DERIVADOS</v>
      </c>
      <c r="I91" s="9" t="s">
        <v>811</v>
      </c>
      <c r="J91" s="6" t="s">
        <v>816</v>
      </c>
      <c r="K91" s="6" t="s">
        <v>6</v>
      </c>
      <c r="L91" s="3">
        <v>2</v>
      </c>
      <c r="M91" s="5">
        <v>35.5</v>
      </c>
      <c r="N91" s="5">
        <v>71</v>
      </c>
    </row>
    <row r="92" spans="1:14" x14ac:dyDescent="0.25">
      <c r="A92" s="1" t="s">
        <v>1208</v>
      </c>
      <c r="B92" s="1" t="s">
        <v>14</v>
      </c>
      <c r="C92" s="3">
        <v>90</v>
      </c>
      <c r="D92" s="2">
        <v>0.56669999999999998</v>
      </c>
      <c r="E92" s="2">
        <f>TabelaMucambo[[#This Row],[Qtde]]*TabelaMucambo[[#This Row],[Vl. Unitário]]</f>
        <v>51.003</v>
      </c>
      <c r="F92" s="7" t="str">
        <f>VLOOKUP(TabelaMucambo[[#This Row],[Código+Produto]],Base!A:C,3,0)</f>
        <v>ovo mp</v>
      </c>
      <c r="G92" s="8" t="str">
        <f>VLOOKUP(A92,Base!A:D,4,0)</f>
        <v>FRANGOS E DERIVADOS</v>
      </c>
      <c r="I92" s="10" t="s">
        <v>811</v>
      </c>
      <c r="J92" s="6" t="s">
        <v>815</v>
      </c>
      <c r="K92" s="6" t="s">
        <v>6</v>
      </c>
      <c r="L92" s="3">
        <v>5</v>
      </c>
      <c r="M92" s="5">
        <v>11.949</v>
      </c>
      <c r="N92" s="5">
        <v>59.449100000000001</v>
      </c>
    </row>
    <row r="93" spans="1:14" x14ac:dyDescent="0.25">
      <c r="A93" s="1" t="s">
        <v>1208</v>
      </c>
      <c r="B93" s="1" t="s">
        <v>14</v>
      </c>
      <c r="C93" s="3">
        <v>150</v>
      </c>
      <c r="D93" s="2">
        <v>0.56669999999999998</v>
      </c>
      <c r="E93" s="2">
        <f>TabelaMucambo[[#This Row],[Qtde]]*TabelaMucambo[[#This Row],[Vl. Unitário]]</f>
        <v>85.004999999999995</v>
      </c>
      <c r="F93" s="7" t="str">
        <f>VLOOKUP(TabelaMucambo[[#This Row],[Código+Produto]],Base!A:C,3,0)</f>
        <v>ovo mp</v>
      </c>
      <c r="G93" s="8" t="str">
        <f>VLOOKUP(A93,Base!A:D,4,0)</f>
        <v>FRANGOS E DERIVADOS</v>
      </c>
      <c r="I93" s="9"/>
      <c r="J93" s="10"/>
      <c r="K93" s="10"/>
      <c r="L93" s="3"/>
      <c r="M93" s="5"/>
      <c r="N93" s="5"/>
    </row>
    <row r="94" spans="1:14" x14ac:dyDescent="0.25">
      <c r="A94" s="1" t="s">
        <v>1208</v>
      </c>
      <c r="B94" s="1" t="s">
        <v>14</v>
      </c>
      <c r="C94" s="3">
        <v>90</v>
      </c>
      <c r="D94" s="2">
        <v>0.56669999999999998</v>
      </c>
      <c r="E94" s="2">
        <f>TabelaMucambo[[#This Row],[Qtde]]*TabelaMucambo[[#This Row],[Vl. Unitário]]</f>
        <v>51.003</v>
      </c>
      <c r="F94" s="7" t="str">
        <f>VLOOKUP(TabelaMucambo[[#This Row],[Código+Produto]],Base!A:C,3,0)</f>
        <v>ovo mp</v>
      </c>
      <c r="G94" s="8" t="str">
        <f>VLOOKUP(A94,Base!A:D,4,0)</f>
        <v>FRANGOS E DERIVADOS</v>
      </c>
      <c r="I94" s="9" t="s">
        <v>650</v>
      </c>
      <c r="J94" s="9" t="s">
        <v>649</v>
      </c>
      <c r="K94" s="6" t="s">
        <v>1</v>
      </c>
      <c r="L94" s="3">
        <v>2.25</v>
      </c>
      <c r="M94" s="5">
        <v>44.652000000000001</v>
      </c>
      <c r="N94" s="5">
        <v>100.467</v>
      </c>
    </row>
    <row r="95" spans="1:14" x14ac:dyDescent="0.25">
      <c r="A95" s="1" t="s">
        <v>1208</v>
      </c>
      <c r="B95" s="1" t="s">
        <v>1209</v>
      </c>
      <c r="C95" s="3">
        <v>6</v>
      </c>
      <c r="D95" s="2">
        <v>17.001000000000001</v>
      </c>
      <c r="E95" s="2">
        <f>TabelaMucambo[[#This Row],[Qtde]]*TabelaMucambo[[#This Row],[Vl. Unitário]]</f>
        <v>102.006</v>
      </c>
      <c r="F95" s="7" t="str">
        <f>VLOOKUP(TabelaMucambo[[#This Row],[Código+Produto]],Base!A:C,3,0)</f>
        <v>ovo mp</v>
      </c>
      <c r="G95" s="8" t="str">
        <f>VLOOKUP(A95,Base!A:D,4,0)</f>
        <v>FRANGOS E DERIVADOS</v>
      </c>
      <c r="I95" s="10" t="s">
        <v>650</v>
      </c>
      <c r="J95" s="10" t="s">
        <v>649</v>
      </c>
      <c r="K95" s="6" t="s">
        <v>57</v>
      </c>
      <c r="L95" s="3">
        <v>8</v>
      </c>
      <c r="M95" s="5">
        <v>3.1616</v>
      </c>
      <c r="N95" s="5">
        <v>25.2928</v>
      </c>
    </row>
    <row r="96" spans="1:14" x14ac:dyDescent="0.25">
      <c r="A96" s="1" t="s">
        <v>1208</v>
      </c>
      <c r="B96" s="1" t="s">
        <v>14</v>
      </c>
      <c r="C96" s="3">
        <v>60</v>
      </c>
      <c r="D96" s="2">
        <v>0.56669999999999998</v>
      </c>
      <c r="E96" s="2">
        <f>TabelaMucambo[[#This Row],[Qtde]]*TabelaMucambo[[#This Row],[Vl. Unitário]]</f>
        <v>34.001999999999995</v>
      </c>
      <c r="F96" s="7" t="str">
        <f>VLOOKUP(TabelaMucambo[[#This Row],[Código+Produto]],Base!A:C,3,0)</f>
        <v>ovo mp</v>
      </c>
      <c r="G96" s="8" t="str">
        <f>VLOOKUP(A96,Base!A:D,4,0)</f>
        <v>FRANGOS E DERIVADOS</v>
      </c>
      <c r="I96" s="9"/>
      <c r="J96" s="10"/>
      <c r="K96" s="10"/>
      <c r="L96" s="3"/>
      <c r="M96" s="5"/>
      <c r="N96" s="5"/>
    </row>
    <row r="97" spans="1:14" x14ac:dyDescent="0.25">
      <c r="A97" s="1" t="s">
        <v>1208</v>
      </c>
      <c r="B97" s="1" t="s">
        <v>14</v>
      </c>
      <c r="C97" s="3">
        <v>180</v>
      </c>
      <c r="D97" s="2">
        <v>0.56669999999999998</v>
      </c>
      <c r="E97" s="2">
        <f>TabelaMucambo[[#This Row],[Qtde]]*TabelaMucambo[[#This Row],[Vl. Unitário]]</f>
        <v>102.006</v>
      </c>
      <c r="F97" s="7" t="str">
        <f>VLOOKUP(TabelaMucambo[[#This Row],[Código+Produto]],Base!A:C,3,0)</f>
        <v>ovo mp</v>
      </c>
      <c r="G97" s="8" t="str">
        <f>VLOOKUP(A97,Base!A:D,4,0)</f>
        <v>FRANGOS E DERIVADOS</v>
      </c>
      <c r="I97" s="9" t="s">
        <v>782</v>
      </c>
      <c r="J97" s="6" t="s">
        <v>784</v>
      </c>
      <c r="K97" s="6" t="s">
        <v>6</v>
      </c>
      <c r="L97" s="3">
        <v>3</v>
      </c>
      <c r="M97" s="5">
        <v>21.516500000000001</v>
      </c>
      <c r="N97" s="5">
        <v>64.549499999999995</v>
      </c>
    </row>
    <row r="98" spans="1:14" x14ac:dyDescent="0.25">
      <c r="A98" s="1" t="s">
        <v>1208</v>
      </c>
      <c r="B98" s="1" t="s">
        <v>14</v>
      </c>
      <c r="C98" s="3">
        <v>60</v>
      </c>
      <c r="D98" s="2">
        <v>0.56669999999999998</v>
      </c>
      <c r="E98" s="2">
        <f>TabelaMucambo[[#This Row],[Qtde]]*TabelaMucambo[[#This Row],[Vl. Unitário]]</f>
        <v>34.001999999999995</v>
      </c>
      <c r="F98" s="40" t="str">
        <f>VLOOKUP(TabelaMucambo[[#This Row],[Código+Produto]],Base!A:C,3,0)</f>
        <v>ovo mp</v>
      </c>
      <c r="G98" s="8" t="str">
        <f>VLOOKUP(A98,Base!A:D,4,0)</f>
        <v>FRANGOS E DERIVADOS</v>
      </c>
      <c r="I98" s="10" t="s">
        <v>782</v>
      </c>
      <c r="J98" s="6" t="s">
        <v>787</v>
      </c>
      <c r="K98" s="6" t="s">
        <v>1241</v>
      </c>
      <c r="L98" s="3">
        <v>2</v>
      </c>
      <c r="M98" s="5">
        <v>16.405000000000001</v>
      </c>
      <c r="N98" s="5">
        <v>32.81</v>
      </c>
    </row>
    <row r="99" spans="1:14" x14ac:dyDescent="0.25">
      <c r="A99" s="1" t="s">
        <v>2</v>
      </c>
      <c r="B99" s="1" t="s">
        <v>1</v>
      </c>
      <c r="C99" s="3">
        <v>1.1499999999999999</v>
      </c>
      <c r="D99" s="2">
        <v>1.55</v>
      </c>
      <c r="E99" s="2">
        <f>TabelaMucambo[[#This Row],[Qtde]]*TabelaMucambo[[#This Row],[Vl. Unitário]]</f>
        <v>1.7825</v>
      </c>
      <c r="F99" s="7" t="str">
        <f>VLOOKUP(TabelaMucambo[[#This Row],[Código+Produto]],Base!A:C,3,0)</f>
        <v>coentro mp</v>
      </c>
      <c r="G99" s="8" t="str">
        <f>VLOOKUP(A99,Base!A:D,4,0)</f>
        <v>HORTIFRUTI</v>
      </c>
      <c r="I99" s="9"/>
      <c r="J99" s="10"/>
      <c r="K99" s="10"/>
      <c r="L99" s="3"/>
      <c r="M99" s="5"/>
      <c r="N99" s="5"/>
    </row>
    <row r="100" spans="1:14" x14ac:dyDescent="0.25">
      <c r="A100" s="1" t="s">
        <v>2</v>
      </c>
      <c r="B100" s="1" t="s">
        <v>1</v>
      </c>
      <c r="C100" s="3">
        <v>1.55</v>
      </c>
      <c r="D100" s="2">
        <v>1.55</v>
      </c>
      <c r="E100" s="2">
        <f>TabelaMucambo[[#This Row],[Qtde]]*TabelaMucambo[[#This Row],[Vl. Unitário]]</f>
        <v>2.4025000000000003</v>
      </c>
      <c r="F100" s="7" t="str">
        <f>VLOOKUP(TabelaMucambo[[#This Row],[Código+Produto]],Base!A:C,3,0)</f>
        <v>coentro mp</v>
      </c>
      <c r="G100" s="8" t="str">
        <f>VLOOKUP(A100,Base!A:D,4,0)</f>
        <v>HORTIFRUTI</v>
      </c>
      <c r="I100" s="6" t="s">
        <v>394</v>
      </c>
      <c r="J100" s="6" t="s">
        <v>994</v>
      </c>
      <c r="K100" s="6" t="s">
        <v>14</v>
      </c>
      <c r="L100" s="3">
        <v>10</v>
      </c>
      <c r="M100" s="5">
        <v>7</v>
      </c>
      <c r="N100" s="5">
        <v>70</v>
      </c>
    </row>
    <row r="101" spans="1:14" x14ac:dyDescent="0.25">
      <c r="A101" s="1" t="s">
        <v>2</v>
      </c>
      <c r="B101" s="1" t="s">
        <v>1</v>
      </c>
      <c r="C101" s="3">
        <v>1.85</v>
      </c>
      <c r="D101" s="2">
        <v>1.55</v>
      </c>
      <c r="E101" s="2">
        <f>TabelaMucambo[[#This Row],[Qtde]]*TabelaMucambo[[#This Row],[Vl. Unitário]]</f>
        <v>2.8675000000000002</v>
      </c>
      <c r="F101" s="7" t="str">
        <f>VLOOKUP(TabelaMucambo[[#This Row],[Código+Produto]],Base!A:C,3,0)</f>
        <v>coentro mp</v>
      </c>
      <c r="G101" s="8" t="str">
        <f>VLOOKUP(A101,Base!A:D,4,0)</f>
        <v>HORTIFRUTI</v>
      </c>
      <c r="I101" s="9"/>
      <c r="J101" s="10"/>
      <c r="K101" s="10"/>
      <c r="L101" s="3"/>
      <c r="M101" s="5"/>
      <c r="N101" s="5"/>
    </row>
    <row r="102" spans="1:14" x14ac:dyDescent="0.25">
      <c r="A102" s="1" t="s">
        <v>2</v>
      </c>
      <c r="B102" s="1" t="s">
        <v>1</v>
      </c>
      <c r="C102" s="3">
        <v>1.6</v>
      </c>
      <c r="D102" s="2">
        <v>1.55</v>
      </c>
      <c r="E102" s="2">
        <f>TabelaMucambo[[#This Row],[Qtde]]*TabelaMucambo[[#This Row],[Vl. Unitário]]</f>
        <v>2.4800000000000004</v>
      </c>
      <c r="F102" s="7" t="str">
        <f>VLOOKUP(TabelaMucambo[[#This Row],[Código+Produto]],Base!A:C,3,0)</f>
        <v>coentro mp</v>
      </c>
      <c r="G102" s="8" t="str">
        <f>VLOOKUP(A102,Base!A:D,4,0)</f>
        <v>HORTIFRUTI</v>
      </c>
      <c r="I102" s="6" t="s">
        <v>637</v>
      </c>
      <c r="J102" s="6" t="s">
        <v>636</v>
      </c>
      <c r="K102" s="6" t="s">
        <v>1</v>
      </c>
      <c r="L102" s="3">
        <v>2.2000000000000002</v>
      </c>
      <c r="M102" s="5">
        <v>30.122699999999998</v>
      </c>
      <c r="N102" s="5">
        <v>66.269940000000005</v>
      </c>
    </row>
    <row r="103" spans="1:14" x14ac:dyDescent="0.25">
      <c r="A103" s="1" t="s">
        <v>2</v>
      </c>
      <c r="B103" s="1" t="s">
        <v>1</v>
      </c>
      <c r="C103" s="3">
        <v>2.2000000000000002</v>
      </c>
      <c r="D103" s="2">
        <v>1.55</v>
      </c>
      <c r="E103" s="2">
        <f>TabelaMucambo[[#This Row],[Qtde]]*TabelaMucambo[[#This Row],[Vl. Unitário]]</f>
        <v>3.4100000000000006</v>
      </c>
      <c r="F103" s="7" t="str">
        <f>VLOOKUP(TabelaMucambo[[#This Row],[Código+Produto]],Base!A:C,3,0)</f>
        <v>coentro mp</v>
      </c>
      <c r="G103" s="8" t="str">
        <f>VLOOKUP(A103,Base!A:D,4,0)</f>
        <v>HORTIFRUTI</v>
      </c>
      <c r="I103" s="9"/>
      <c r="J103" s="10"/>
      <c r="K103" s="10"/>
      <c r="L103" s="3"/>
      <c r="M103" s="5"/>
      <c r="N103" s="5"/>
    </row>
    <row r="104" spans="1:14" x14ac:dyDescent="0.25">
      <c r="A104" s="1" t="s">
        <v>2</v>
      </c>
      <c r="B104" s="1" t="s">
        <v>1</v>
      </c>
      <c r="C104" s="3">
        <v>0.85</v>
      </c>
      <c r="D104" s="2">
        <v>1.55</v>
      </c>
      <c r="E104" s="2">
        <f>TabelaMucambo[[#This Row],[Qtde]]*TabelaMucambo[[#This Row],[Vl. Unitário]]</f>
        <v>1.3174999999999999</v>
      </c>
      <c r="F104" s="7" t="str">
        <f>VLOOKUP(TabelaMucambo[[#This Row],[Código+Produto]],Base!A:C,3,0)</f>
        <v>coentro mp</v>
      </c>
      <c r="G104" s="8" t="str">
        <f>VLOOKUP(A104,Base!A:D,4,0)</f>
        <v>HORTIFRUTI</v>
      </c>
      <c r="I104" s="6" t="s">
        <v>402</v>
      </c>
      <c r="J104" s="6" t="s">
        <v>401</v>
      </c>
      <c r="K104" s="6" t="s">
        <v>14</v>
      </c>
      <c r="L104" s="3">
        <v>10</v>
      </c>
      <c r="M104" s="5">
        <v>6</v>
      </c>
      <c r="N104" s="5">
        <v>60</v>
      </c>
    </row>
    <row r="105" spans="1:14" x14ac:dyDescent="0.25">
      <c r="A105" s="1" t="s">
        <v>2</v>
      </c>
      <c r="B105" s="1" t="s">
        <v>1</v>
      </c>
      <c r="C105" s="3">
        <v>1.1499999999999999</v>
      </c>
      <c r="D105" s="2">
        <v>1.55</v>
      </c>
      <c r="E105" s="2">
        <f>TabelaMucambo[[#This Row],[Qtde]]*TabelaMucambo[[#This Row],[Vl. Unitário]]</f>
        <v>1.7825</v>
      </c>
      <c r="F105" s="7" t="str">
        <f>VLOOKUP(TabelaMucambo[[#This Row],[Código+Produto]],Base!A:C,3,0)</f>
        <v>coentro mp</v>
      </c>
      <c r="G105" s="8" t="str">
        <f>VLOOKUP(A105,Base!A:D,4,0)</f>
        <v>HORTIFRUTI</v>
      </c>
      <c r="I105" s="9"/>
      <c r="J105" s="10"/>
      <c r="K105" s="10"/>
      <c r="L105" s="3"/>
      <c r="M105" s="5"/>
      <c r="N105" s="5"/>
    </row>
    <row r="106" spans="1:14" x14ac:dyDescent="0.25">
      <c r="A106" s="1" t="s">
        <v>2</v>
      </c>
      <c r="B106" s="1" t="s">
        <v>1</v>
      </c>
      <c r="C106" s="3">
        <v>0.9</v>
      </c>
      <c r="D106" s="2">
        <v>1.55</v>
      </c>
      <c r="E106" s="2">
        <f>TabelaMucambo[[#This Row],[Qtde]]*TabelaMucambo[[#This Row],[Vl. Unitário]]</f>
        <v>1.395</v>
      </c>
      <c r="F106" s="7" t="str">
        <f>VLOOKUP(TabelaMucambo[[#This Row],[Código+Produto]],Base!A:C,3,0)</f>
        <v>coentro mp</v>
      </c>
      <c r="G106" s="8" t="str">
        <f>VLOOKUP(A106,Base!A:D,4,0)</f>
        <v>HORTIFRUTI</v>
      </c>
      <c r="I106" s="6" t="s">
        <v>406</v>
      </c>
      <c r="J106" s="6" t="s">
        <v>405</v>
      </c>
      <c r="K106" s="6" t="s">
        <v>14</v>
      </c>
      <c r="L106" s="3">
        <v>6</v>
      </c>
      <c r="M106" s="5">
        <v>9</v>
      </c>
      <c r="N106" s="5">
        <v>54</v>
      </c>
    </row>
    <row r="107" spans="1:14" x14ac:dyDescent="0.25">
      <c r="A107" s="1" t="s">
        <v>2</v>
      </c>
      <c r="B107" s="1" t="s">
        <v>1</v>
      </c>
      <c r="C107" s="3">
        <v>1.25</v>
      </c>
      <c r="D107" s="2">
        <v>1.55</v>
      </c>
      <c r="E107" s="2">
        <f>TabelaMucambo[[#This Row],[Qtde]]*TabelaMucambo[[#This Row],[Vl. Unitário]]</f>
        <v>1.9375</v>
      </c>
      <c r="F107" s="7" t="str">
        <f>VLOOKUP(TabelaMucambo[[#This Row],[Código+Produto]],Base!A:C,3,0)</f>
        <v>coentro mp</v>
      </c>
      <c r="G107" s="8" t="str">
        <f>VLOOKUP(A107,Base!A:D,4,0)</f>
        <v>HORTIFRUTI</v>
      </c>
      <c r="I107" s="9"/>
      <c r="J107" s="10"/>
      <c r="K107" s="10"/>
      <c r="L107" s="3"/>
      <c r="M107" s="5"/>
      <c r="N107" s="5"/>
    </row>
    <row r="108" spans="1:14" x14ac:dyDescent="0.25">
      <c r="A108" s="1" t="s">
        <v>2</v>
      </c>
      <c r="B108" s="1" t="s">
        <v>1</v>
      </c>
      <c r="C108" s="3">
        <v>1.7</v>
      </c>
      <c r="D108" s="2">
        <v>1.55</v>
      </c>
      <c r="E108" s="2">
        <f>TabelaMucambo[[#This Row],[Qtde]]*TabelaMucambo[[#This Row],[Vl. Unitário]]</f>
        <v>2.6349999999999998</v>
      </c>
      <c r="F108" s="7" t="str">
        <f>VLOOKUP(TabelaMucambo[[#This Row],[Código+Produto]],Base!A:C,3,0)</f>
        <v>coentro mp</v>
      </c>
      <c r="G108" s="8" t="str">
        <f>VLOOKUP(A108,Base!A:D,4,0)</f>
        <v>HORTIFRUTI</v>
      </c>
      <c r="I108" s="9" t="s">
        <v>660</v>
      </c>
      <c r="J108" s="6" t="s">
        <v>748</v>
      </c>
      <c r="K108" s="6" t="s">
        <v>1201</v>
      </c>
      <c r="L108" s="3">
        <v>11</v>
      </c>
      <c r="M108" s="5">
        <v>2.23</v>
      </c>
      <c r="N108" s="5">
        <v>24.53</v>
      </c>
    </row>
    <row r="109" spans="1:14" x14ac:dyDescent="0.25">
      <c r="A109" s="1" t="s">
        <v>2</v>
      </c>
      <c r="B109" s="1" t="s">
        <v>1</v>
      </c>
      <c r="C109" s="3">
        <v>0.7</v>
      </c>
      <c r="D109" s="2">
        <v>1.55</v>
      </c>
      <c r="E109" s="2">
        <f>TabelaMucambo[[#This Row],[Qtde]]*TabelaMucambo[[#This Row],[Vl. Unitário]]</f>
        <v>1.085</v>
      </c>
      <c r="F109" s="7" t="str">
        <f>VLOOKUP(TabelaMucambo[[#This Row],[Código+Produto]],Base!A:C,3,0)</f>
        <v>coentro mp</v>
      </c>
      <c r="G109" s="8" t="str">
        <f>VLOOKUP(A109,Base!A:D,4,0)</f>
        <v>HORTIFRUTI</v>
      </c>
      <c r="I109" s="10" t="s">
        <v>660</v>
      </c>
      <c r="J109" s="6" t="s">
        <v>659</v>
      </c>
      <c r="K109" s="6" t="s">
        <v>1204</v>
      </c>
      <c r="L109" s="3">
        <v>11</v>
      </c>
      <c r="M109" s="5">
        <v>1.39</v>
      </c>
      <c r="N109" s="5">
        <v>15.29</v>
      </c>
    </row>
    <row r="110" spans="1:14" x14ac:dyDescent="0.25">
      <c r="A110" s="1" t="s">
        <v>25</v>
      </c>
      <c r="B110" s="1" t="s">
        <v>1</v>
      </c>
      <c r="C110" s="3">
        <v>3</v>
      </c>
      <c r="D110" s="2">
        <v>2.5</v>
      </c>
      <c r="E110" s="2">
        <f>TabelaMucambo[[#This Row],[Qtde]]*TabelaMucambo[[#This Row],[Vl. Unitário]]</f>
        <v>7.5</v>
      </c>
      <c r="F110" s="7" t="str">
        <f>VLOOKUP(TabelaMucambo[[#This Row],[Código+Produto]],Base!A:C,3,0)</f>
        <v>pimentao mp</v>
      </c>
      <c r="G110" s="8" t="str">
        <f>VLOOKUP(A110,Base!A:D,4,0)</f>
        <v>HORTIFRUTI</v>
      </c>
      <c r="I110" s="9"/>
      <c r="J110" s="10"/>
      <c r="K110" s="10"/>
      <c r="L110" s="3"/>
      <c r="M110" s="5"/>
      <c r="N110" s="5"/>
    </row>
    <row r="111" spans="1:14" x14ac:dyDescent="0.25">
      <c r="A111" s="1" t="s">
        <v>25</v>
      </c>
      <c r="B111" s="1" t="s">
        <v>1</v>
      </c>
      <c r="C111" s="3">
        <v>3.95</v>
      </c>
      <c r="D111" s="2">
        <v>2.5</v>
      </c>
      <c r="E111" s="2">
        <f>TabelaMucambo[[#This Row],[Qtde]]*TabelaMucambo[[#This Row],[Vl. Unitário]]</f>
        <v>9.875</v>
      </c>
      <c r="F111" s="7" t="str">
        <f>VLOOKUP(TabelaMucambo[[#This Row],[Código+Produto]],Base!A:C,3,0)</f>
        <v>pimentao mp</v>
      </c>
      <c r="G111" s="8" t="str">
        <f>VLOOKUP(A111,Base!A:D,4,0)</f>
        <v>HORTIFRUTI</v>
      </c>
      <c r="I111" s="6" t="s">
        <v>433</v>
      </c>
      <c r="J111" s="6" t="s">
        <v>434</v>
      </c>
      <c r="K111" s="6" t="s">
        <v>1224</v>
      </c>
      <c r="L111" s="3">
        <v>3</v>
      </c>
      <c r="M111" s="5">
        <v>0.32</v>
      </c>
      <c r="N111" s="5">
        <v>0.96</v>
      </c>
    </row>
    <row r="112" spans="1:14" x14ac:dyDescent="0.25">
      <c r="A112" s="1" t="s">
        <v>25</v>
      </c>
      <c r="B112" s="1" t="s">
        <v>1</v>
      </c>
      <c r="C112" s="3">
        <v>5.05</v>
      </c>
      <c r="D112" s="2">
        <v>3</v>
      </c>
      <c r="E112" s="2">
        <f>TabelaMucambo[[#This Row],[Qtde]]*TabelaMucambo[[#This Row],[Vl. Unitário]]</f>
        <v>15.149999999999999</v>
      </c>
      <c r="F112" s="7" t="str">
        <f>VLOOKUP(TabelaMucambo[[#This Row],[Código+Produto]],Base!A:C,3,0)</f>
        <v>pimentao mp</v>
      </c>
      <c r="G112" s="8" t="str">
        <f>VLOOKUP(A112,Base!A:D,4,0)</f>
        <v>HORTIFRUTI</v>
      </c>
      <c r="I112" s="9"/>
      <c r="J112" s="10"/>
      <c r="K112" s="10"/>
      <c r="L112" s="3"/>
      <c r="M112" s="5"/>
      <c r="N112" s="5"/>
    </row>
    <row r="113" spans="1:7" x14ac:dyDescent="0.25">
      <c r="A113" s="1" t="s">
        <v>25</v>
      </c>
      <c r="B113" s="1" t="s">
        <v>1</v>
      </c>
      <c r="C113" s="3">
        <v>3.95</v>
      </c>
      <c r="D113" s="2">
        <v>2.5</v>
      </c>
      <c r="E113" s="2">
        <f>TabelaMucambo[[#This Row],[Qtde]]*TabelaMucambo[[#This Row],[Vl. Unitário]]</f>
        <v>9.875</v>
      </c>
      <c r="F113" s="7" t="str">
        <f>VLOOKUP(TabelaMucambo[[#This Row],[Código+Produto]],Base!A:C,3,0)</f>
        <v>pimentao mp</v>
      </c>
      <c r="G113" s="8" t="str">
        <f>VLOOKUP(A113,Base!A:D,4,0)</f>
        <v>HORTIFRUTI</v>
      </c>
    </row>
    <row r="114" spans="1:7" x14ac:dyDescent="0.25">
      <c r="A114" s="1" t="s">
        <v>25</v>
      </c>
      <c r="B114" s="1" t="s">
        <v>1</v>
      </c>
      <c r="C114" s="3">
        <v>4.5</v>
      </c>
      <c r="D114" s="2">
        <v>3</v>
      </c>
      <c r="E114" s="2">
        <f>TabelaMucambo[[#This Row],[Qtde]]*TabelaMucambo[[#This Row],[Vl. Unitário]]</f>
        <v>13.5</v>
      </c>
      <c r="F114" s="7" t="str">
        <f>VLOOKUP(TabelaMucambo[[#This Row],[Código+Produto]],Base!A:C,3,0)</f>
        <v>pimentao mp</v>
      </c>
      <c r="G114" s="8" t="str">
        <f>VLOOKUP(A114,Base!A:D,4,0)</f>
        <v>HORTIFRUTI</v>
      </c>
    </row>
    <row r="115" spans="1:7" x14ac:dyDescent="0.25">
      <c r="A115" s="1" t="s">
        <v>25</v>
      </c>
      <c r="B115" s="1" t="s">
        <v>1</v>
      </c>
      <c r="C115" s="3">
        <v>2.95</v>
      </c>
      <c r="D115" s="2">
        <v>2.5</v>
      </c>
      <c r="E115" s="2">
        <f>TabelaMucambo[[#This Row],[Qtde]]*TabelaMucambo[[#This Row],[Vl. Unitário]]</f>
        <v>7.375</v>
      </c>
      <c r="F115" s="7" t="str">
        <f>VLOOKUP(TabelaMucambo[[#This Row],[Código+Produto]],Base!A:C,3,0)</f>
        <v>pimentao mp</v>
      </c>
      <c r="G115" s="8" t="str">
        <f>VLOOKUP(A115,Base!A:D,4,0)</f>
        <v>HORTIFRUTI</v>
      </c>
    </row>
    <row r="116" spans="1:7" x14ac:dyDescent="0.25">
      <c r="A116" s="1" t="s">
        <v>25</v>
      </c>
      <c r="B116" s="1" t="s">
        <v>1</v>
      </c>
      <c r="C116" s="3">
        <v>2.8</v>
      </c>
      <c r="D116" s="2">
        <v>2.5</v>
      </c>
      <c r="E116" s="2">
        <f>TabelaMucambo[[#This Row],[Qtde]]*TabelaMucambo[[#This Row],[Vl. Unitário]]</f>
        <v>7</v>
      </c>
      <c r="F116" s="7" t="str">
        <f>VLOOKUP(TabelaMucambo[[#This Row],[Código+Produto]],Base!A:C,3,0)</f>
        <v>pimentao mp</v>
      </c>
      <c r="G116" s="8" t="str">
        <f>VLOOKUP(A116,Base!A:D,4,0)</f>
        <v>HORTIFRUTI</v>
      </c>
    </row>
    <row r="117" spans="1:7" x14ac:dyDescent="0.25">
      <c r="A117" s="1" t="s">
        <v>25</v>
      </c>
      <c r="B117" s="1" t="s">
        <v>1</v>
      </c>
      <c r="C117" s="3">
        <v>3.15</v>
      </c>
      <c r="D117" s="2">
        <v>2.5</v>
      </c>
      <c r="E117" s="2">
        <f>TabelaMucambo[[#This Row],[Qtde]]*TabelaMucambo[[#This Row],[Vl. Unitário]]</f>
        <v>7.875</v>
      </c>
      <c r="F117" s="7" t="str">
        <f>VLOOKUP(TabelaMucambo[[#This Row],[Código+Produto]],Base!A:C,3,0)</f>
        <v>pimentao mp</v>
      </c>
      <c r="G117" s="8" t="str">
        <f>VLOOKUP(A117,Base!A:D,4,0)</f>
        <v>HORTIFRUTI</v>
      </c>
    </row>
    <row r="118" spans="1:7" x14ac:dyDescent="0.25">
      <c r="A118" s="1" t="s">
        <v>25</v>
      </c>
      <c r="B118" s="1" t="s">
        <v>1</v>
      </c>
      <c r="C118" s="3">
        <v>4.5</v>
      </c>
      <c r="D118" s="2">
        <v>3</v>
      </c>
      <c r="E118" s="2">
        <f>TabelaMucambo[[#This Row],[Qtde]]*TabelaMucambo[[#This Row],[Vl. Unitário]]</f>
        <v>13.5</v>
      </c>
      <c r="F118" s="7" t="str">
        <f>VLOOKUP(TabelaMucambo[[#This Row],[Código+Produto]],Base!A:C,3,0)</f>
        <v>pimentao mp</v>
      </c>
      <c r="G118" s="8" t="str">
        <f>VLOOKUP(A118,Base!A:D,4,0)</f>
        <v>HORTIFRUTI</v>
      </c>
    </row>
    <row r="119" spans="1:7" x14ac:dyDescent="0.25">
      <c r="A119" s="1" t="s">
        <v>25</v>
      </c>
      <c r="B119" s="1" t="s">
        <v>1</v>
      </c>
      <c r="C119" s="3">
        <v>2.15</v>
      </c>
      <c r="D119" s="2">
        <v>2.5</v>
      </c>
      <c r="E119" s="2">
        <f>TabelaMucambo[[#This Row],[Qtde]]*TabelaMucambo[[#This Row],[Vl. Unitário]]</f>
        <v>5.375</v>
      </c>
      <c r="F119" s="7" t="str">
        <f>VLOOKUP(TabelaMucambo[[#This Row],[Código+Produto]],Base!A:C,3,0)</f>
        <v>pimentao mp</v>
      </c>
      <c r="G119" s="8" t="str">
        <f>VLOOKUP(A119,Base!A:D,4,0)</f>
        <v>HORTIFRUTI</v>
      </c>
    </row>
    <row r="120" spans="1:7" x14ac:dyDescent="0.25">
      <c r="A120" s="1" t="s">
        <v>25</v>
      </c>
      <c r="B120" s="1" t="s">
        <v>1</v>
      </c>
      <c r="C120" s="3">
        <v>4.2</v>
      </c>
      <c r="D120" s="2">
        <v>4</v>
      </c>
      <c r="E120" s="2">
        <f>TabelaMucambo[[#This Row],[Qtde]]*TabelaMucambo[[#This Row],[Vl. Unitário]]</f>
        <v>16.8</v>
      </c>
      <c r="F120" s="7" t="str">
        <f>VLOOKUP(TabelaMucambo[[#This Row],[Código+Produto]],Base!A:C,3,0)</f>
        <v>pimentao mp</v>
      </c>
      <c r="G120" s="8" t="str">
        <f>VLOOKUP(A120,Base!A:D,4,0)</f>
        <v>HORTIFRUTI</v>
      </c>
    </row>
    <row r="121" spans="1:7" x14ac:dyDescent="0.25">
      <c r="A121" s="1" t="s">
        <v>25</v>
      </c>
      <c r="B121" s="1" t="s">
        <v>1</v>
      </c>
      <c r="C121" s="3">
        <v>2.74</v>
      </c>
      <c r="D121" s="2">
        <v>2.5</v>
      </c>
      <c r="E121" s="2">
        <f>TabelaMucambo[[#This Row],[Qtde]]*TabelaMucambo[[#This Row],[Vl. Unitário]]</f>
        <v>6.8500000000000005</v>
      </c>
      <c r="F121" s="40" t="str">
        <f>VLOOKUP(TabelaMucambo[[#This Row],[Código+Produto]],Base!A:C,3,0)</f>
        <v>pimentao mp</v>
      </c>
      <c r="G121" s="8" t="str">
        <f>VLOOKUP(A121,Base!A:D,4,0)</f>
        <v>HORTIFRUTI</v>
      </c>
    </row>
    <row r="122" spans="1:7" x14ac:dyDescent="0.25">
      <c r="A122" s="1" t="s">
        <v>3</v>
      </c>
      <c r="B122" s="1" t="s">
        <v>1</v>
      </c>
      <c r="C122" s="3">
        <v>7.95</v>
      </c>
      <c r="D122" s="2">
        <v>7</v>
      </c>
      <c r="E122" s="2">
        <f>TabelaMucambo[[#This Row],[Qtde]]*TabelaMucambo[[#This Row],[Vl. Unitário]]</f>
        <v>55.65</v>
      </c>
      <c r="F122" s="7" t="str">
        <f>VLOOKUP(TabelaMucambo[[#This Row],[Código+Produto]],Base!A:C,3,0)</f>
        <v>tomate mp</v>
      </c>
      <c r="G122" s="8" t="str">
        <f>VLOOKUP(A122,Base!A:D,4,0)</f>
        <v>HORTIFRUTI</v>
      </c>
    </row>
    <row r="123" spans="1:7" x14ac:dyDescent="0.25">
      <c r="A123" s="1" t="s">
        <v>3</v>
      </c>
      <c r="B123" s="1" t="s">
        <v>1</v>
      </c>
      <c r="C123" s="3">
        <v>5.9</v>
      </c>
      <c r="D123" s="2">
        <v>7</v>
      </c>
      <c r="E123" s="2">
        <f>TabelaMucambo[[#This Row],[Qtde]]*TabelaMucambo[[#This Row],[Vl. Unitário]]</f>
        <v>41.300000000000004</v>
      </c>
      <c r="F123" s="7" t="str">
        <f>VLOOKUP(TabelaMucambo[[#This Row],[Código+Produto]],Base!A:C,3,0)</f>
        <v>tomate mp</v>
      </c>
      <c r="G123" s="8" t="str">
        <f>VLOOKUP(A123,Base!A:D,4,0)</f>
        <v>HORTIFRUTI</v>
      </c>
    </row>
    <row r="124" spans="1:7" x14ac:dyDescent="0.25">
      <c r="A124" s="1" t="s">
        <v>3</v>
      </c>
      <c r="B124" s="1" t="s">
        <v>1</v>
      </c>
      <c r="C124" s="3">
        <v>6.35</v>
      </c>
      <c r="D124" s="2">
        <v>7</v>
      </c>
      <c r="E124" s="2">
        <f>TabelaMucambo[[#This Row],[Qtde]]*TabelaMucambo[[#This Row],[Vl. Unitário]]</f>
        <v>44.449999999999996</v>
      </c>
      <c r="F124" s="7" t="str">
        <f>VLOOKUP(TabelaMucambo[[#This Row],[Código+Produto]],Base!A:C,3,0)</f>
        <v>tomate mp</v>
      </c>
      <c r="G124" s="8" t="str">
        <f>VLOOKUP(A124,Base!A:D,4,0)</f>
        <v>HORTIFRUTI</v>
      </c>
    </row>
    <row r="125" spans="1:7" x14ac:dyDescent="0.25">
      <c r="A125" s="1" t="s">
        <v>3</v>
      </c>
      <c r="B125" s="1" t="s">
        <v>1</v>
      </c>
      <c r="C125" s="3">
        <v>10</v>
      </c>
      <c r="D125" s="2">
        <v>7</v>
      </c>
      <c r="E125" s="2">
        <f>TabelaMucambo[[#This Row],[Qtde]]*TabelaMucambo[[#This Row],[Vl. Unitário]]</f>
        <v>70</v>
      </c>
      <c r="F125" s="7" t="str">
        <f>VLOOKUP(TabelaMucambo[[#This Row],[Código+Produto]],Base!A:C,3,0)</f>
        <v>tomate mp</v>
      </c>
      <c r="G125" s="8" t="str">
        <f>VLOOKUP(A125,Base!A:D,4,0)</f>
        <v>HORTIFRUTI</v>
      </c>
    </row>
    <row r="126" spans="1:7" x14ac:dyDescent="0.25">
      <c r="A126" s="1" t="s">
        <v>3</v>
      </c>
      <c r="B126" s="1" t="s">
        <v>1</v>
      </c>
      <c r="C126" s="3">
        <v>21.4</v>
      </c>
      <c r="D126" s="2">
        <v>7</v>
      </c>
      <c r="E126" s="2">
        <f>TabelaMucambo[[#This Row],[Qtde]]*TabelaMucambo[[#This Row],[Vl. Unitário]]</f>
        <v>149.79999999999998</v>
      </c>
      <c r="F126" s="7" t="str">
        <f>VLOOKUP(TabelaMucambo[[#This Row],[Código+Produto]],Base!A:C,3,0)</f>
        <v>tomate mp</v>
      </c>
      <c r="G126" s="8" t="str">
        <f>VLOOKUP(A126,Base!A:D,4,0)</f>
        <v>HORTIFRUTI</v>
      </c>
    </row>
    <row r="127" spans="1:7" x14ac:dyDescent="0.25">
      <c r="A127" s="1" t="s">
        <v>3</v>
      </c>
      <c r="B127" s="1" t="s">
        <v>1</v>
      </c>
      <c r="C127" s="3">
        <v>22.6</v>
      </c>
      <c r="D127" s="2">
        <v>7</v>
      </c>
      <c r="E127" s="2">
        <f>TabelaMucambo[[#This Row],[Qtde]]*TabelaMucambo[[#This Row],[Vl. Unitário]]</f>
        <v>158.20000000000002</v>
      </c>
      <c r="F127" s="7" t="str">
        <f>VLOOKUP(TabelaMucambo[[#This Row],[Código+Produto]],Base!A:C,3,0)</f>
        <v>tomate mp</v>
      </c>
      <c r="G127" s="8" t="str">
        <f>VLOOKUP(A127,Base!A:D,4,0)</f>
        <v>HORTIFRUTI</v>
      </c>
    </row>
    <row r="128" spans="1:7" x14ac:dyDescent="0.25">
      <c r="A128" s="1" t="s">
        <v>3</v>
      </c>
      <c r="B128" s="1" t="s">
        <v>1</v>
      </c>
      <c r="C128" s="3">
        <v>10</v>
      </c>
      <c r="D128" s="2">
        <v>7</v>
      </c>
      <c r="E128" s="2">
        <f>TabelaMucambo[[#This Row],[Qtde]]*TabelaMucambo[[#This Row],[Vl. Unitário]]</f>
        <v>70</v>
      </c>
      <c r="F128" s="7" t="str">
        <f>VLOOKUP(TabelaMucambo[[#This Row],[Código+Produto]],Base!A:C,3,0)</f>
        <v>tomate mp</v>
      </c>
      <c r="G128" s="8" t="str">
        <f>VLOOKUP(A128,Base!A:D,4,0)</f>
        <v>HORTIFRUTI</v>
      </c>
    </row>
    <row r="129" spans="1:7" x14ac:dyDescent="0.25">
      <c r="A129" s="1" t="s">
        <v>3</v>
      </c>
      <c r="B129" s="1" t="s">
        <v>1</v>
      </c>
      <c r="C129" s="3">
        <v>8.75</v>
      </c>
      <c r="D129" s="2">
        <v>7</v>
      </c>
      <c r="E129" s="2">
        <f>TabelaMucambo[[#This Row],[Qtde]]*TabelaMucambo[[#This Row],[Vl. Unitário]]</f>
        <v>61.25</v>
      </c>
      <c r="F129" s="7" t="str">
        <f>VLOOKUP(TabelaMucambo[[#This Row],[Código+Produto]],Base!A:C,3,0)</f>
        <v>tomate mp</v>
      </c>
      <c r="G129" s="8" t="str">
        <f>VLOOKUP(A129,Base!A:D,4,0)</f>
        <v>HORTIFRUTI</v>
      </c>
    </row>
    <row r="130" spans="1:7" x14ac:dyDescent="0.25">
      <c r="A130" s="1" t="s">
        <v>3</v>
      </c>
      <c r="B130" s="1" t="s">
        <v>1</v>
      </c>
      <c r="C130" s="3">
        <v>3.88</v>
      </c>
      <c r="D130" s="2">
        <v>7</v>
      </c>
      <c r="E130" s="2">
        <f>TabelaMucambo[[#This Row],[Qtde]]*TabelaMucambo[[#This Row],[Vl. Unitário]]</f>
        <v>27.16</v>
      </c>
      <c r="F130" s="7" t="str">
        <f>VLOOKUP(TabelaMucambo[[#This Row],[Código+Produto]],Base!A:C,3,0)</f>
        <v>tomate mp</v>
      </c>
      <c r="G130" s="8" t="str">
        <f>VLOOKUP(A130,Base!A:D,4,0)</f>
        <v>HORTIFRUTI</v>
      </c>
    </row>
    <row r="131" spans="1:7" x14ac:dyDescent="0.25">
      <c r="A131" s="1" t="s">
        <v>3</v>
      </c>
      <c r="B131" s="1" t="s">
        <v>1</v>
      </c>
      <c r="C131" s="3">
        <v>8.85</v>
      </c>
      <c r="D131" s="2">
        <v>7</v>
      </c>
      <c r="E131" s="2">
        <f>TabelaMucambo[[#This Row],[Qtde]]*TabelaMucambo[[#This Row],[Vl. Unitário]]</f>
        <v>61.949999999999996</v>
      </c>
      <c r="F131" s="7" t="str">
        <f>VLOOKUP(TabelaMucambo[[#This Row],[Código+Produto]],Base!A:C,3,0)</f>
        <v>tomate mp</v>
      </c>
      <c r="G131" s="8" t="str">
        <f>VLOOKUP(A131,Base!A:D,4,0)</f>
        <v>HORTIFRUTI</v>
      </c>
    </row>
    <row r="132" spans="1:7" x14ac:dyDescent="0.25">
      <c r="A132" s="1" t="s">
        <v>3</v>
      </c>
      <c r="B132" s="1" t="s">
        <v>1</v>
      </c>
      <c r="C132" s="3">
        <v>4.75</v>
      </c>
      <c r="D132" s="2">
        <v>7</v>
      </c>
      <c r="E132" s="2">
        <f>TabelaMucambo[[#This Row],[Qtde]]*TabelaMucambo[[#This Row],[Vl. Unitário]]</f>
        <v>33.25</v>
      </c>
      <c r="F132" s="7" t="str">
        <f>VLOOKUP(TabelaMucambo[[#This Row],[Código+Produto]],Base!A:C,3,0)</f>
        <v>tomate mp</v>
      </c>
      <c r="G132" s="8" t="str">
        <f>VLOOKUP(A132,Base!A:D,4,0)</f>
        <v>HORTIFRUTI</v>
      </c>
    </row>
    <row r="133" spans="1:7" x14ac:dyDescent="0.25">
      <c r="A133" s="1" t="s">
        <v>3</v>
      </c>
      <c r="B133" s="1" t="s">
        <v>1</v>
      </c>
      <c r="C133" s="3">
        <v>7.75</v>
      </c>
      <c r="D133" s="2">
        <v>7</v>
      </c>
      <c r="E133" s="2">
        <f>TabelaMucambo[[#This Row],[Qtde]]*TabelaMucambo[[#This Row],[Vl. Unitário]]</f>
        <v>54.25</v>
      </c>
      <c r="F133" s="7" t="str">
        <f>VLOOKUP(TabelaMucambo[[#This Row],[Código+Produto]],Base!A:C,3,0)</f>
        <v>tomate mp</v>
      </c>
      <c r="G133" s="8" t="str">
        <f>VLOOKUP(A133,Base!A:D,4,0)</f>
        <v>HORTIFRUTI</v>
      </c>
    </row>
    <row r="134" spans="1:7" x14ac:dyDescent="0.25">
      <c r="A134" s="1" t="s">
        <v>3</v>
      </c>
      <c r="B134" s="1" t="s">
        <v>1</v>
      </c>
      <c r="C134" s="3">
        <v>9.4</v>
      </c>
      <c r="D134" s="2">
        <v>7</v>
      </c>
      <c r="E134" s="2">
        <f>TabelaMucambo[[#This Row],[Qtde]]*TabelaMucambo[[#This Row],[Vl. Unitário]]</f>
        <v>65.8</v>
      </c>
      <c r="F134" s="7" t="str">
        <f>VLOOKUP(TabelaMucambo[[#This Row],[Código+Produto]],Base!A:C,3,0)</f>
        <v>tomate mp</v>
      </c>
      <c r="G134" s="8" t="str">
        <f>VLOOKUP(A134,Base!A:D,4,0)</f>
        <v>HORTIFRUTI</v>
      </c>
    </row>
    <row r="135" spans="1:7" x14ac:dyDescent="0.25">
      <c r="A135" s="1" t="s">
        <v>3</v>
      </c>
      <c r="B135" s="1" t="s">
        <v>1</v>
      </c>
      <c r="C135" s="3">
        <v>12.1</v>
      </c>
      <c r="D135" s="2">
        <v>7</v>
      </c>
      <c r="E135" s="2">
        <f>TabelaMucambo[[#This Row],[Qtde]]*TabelaMucambo[[#This Row],[Vl. Unitário]]</f>
        <v>84.7</v>
      </c>
      <c r="F135" s="7" t="str">
        <f>VLOOKUP(TabelaMucambo[[#This Row],[Código+Produto]],Base!A:C,3,0)</f>
        <v>tomate mp</v>
      </c>
      <c r="G135" s="8" t="str">
        <f>VLOOKUP(A135,Base!A:D,4,0)</f>
        <v>HORTIFRUTI</v>
      </c>
    </row>
    <row r="136" spans="1:7" x14ac:dyDescent="0.25">
      <c r="A136" s="1" t="s">
        <v>3</v>
      </c>
      <c r="B136" s="1" t="s">
        <v>1</v>
      </c>
      <c r="C136" s="3">
        <v>12</v>
      </c>
      <c r="D136" s="2">
        <v>7</v>
      </c>
      <c r="E136" s="2">
        <f>TabelaMucambo[[#This Row],[Qtde]]*TabelaMucambo[[#This Row],[Vl. Unitário]]</f>
        <v>84</v>
      </c>
      <c r="F136" s="7" t="str">
        <f>VLOOKUP(TabelaMucambo[[#This Row],[Código+Produto]],Base!A:C,3,0)</f>
        <v>tomate mp</v>
      </c>
      <c r="G136" s="8" t="str">
        <f>VLOOKUP(A136,Base!A:D,4,0)</f>
        <v>HORTIFRUTI</v>
      </c>
    </row>
    <row r="137" spans="1:7" x14ac:dyDescent="0.25">
      <c r="A137" s="1" t="s">
        <v>3</v>
      </c>
      <c r="B137" s="1" t="s">
        <v>1</v>
      </c>
      <c r="C137" s="3">
        <v>9.85</v>
      </c>
      <c r="D137" s="2">
        <v>7</v>
      </c>
      <c r="E137" s="2">
        <f>TabelaMucambo[[#This Row],[Qtde]]*TabelaMucambo[[#This Row],[Vl. Unitário]]</f>
        <v>68.95</v>
      </c>
      <c r="F137" s="7" t="str">
        <f>VLOOKUP(TabelaMucambo[[#This Row],[Código+Produto]],Base!A:C,3,0)</f>
        <v>tomate mp</v>
      </c>
      <c r="G137" s="8" t="str">
        <f>VLOOKUP(A137,Base!A:D,4,0)</f>
        <v>HORTIFRUTI</v>
      </c>
    </row>
    <row r="138" spans="1:7" x14ac:dyDescent="0.25">
      <c r="A138" s="1" t="s">
        <v>3</v>
      </c>
      <c r="B138" s="1" t="s">
        <v>1</v>
      </c>
      <c r="C138" s="3">
        <v>13.2</v>
      </c>
      <c r="D138" s="2">
        <v>7</v>
      </c>
      <c r="E138" s="2">
        <f>TabelaMucambo[[#This Row],[Qtde]]*TabelaMucambo[[#This Row],[Vl. Unitário]]</f>
        <v>92.399999999999991</v>
      </c>
      <c r="F138" s="40" t="str">
        <f>VLOOKUP(TabelaMucambo[[#This Row],[Código+Produto]],Base!A:C,3,0)</f>
        <v>tomate mp</v>
      </c>
      <c r="G138" s="8" t="str">
        <f>VLOOKUP(A138,Base!A:D,4,0)</f>
        <v>HORTIFRUTI</v>
      </c>
    </row>
    <row r="139" spans="1:7" x14ac:dyDescent="0.25">
      <c r="A139" s="1" t="s">
        <v>3</v>
      </c>
      <c r="B139" s="1" t="s">
        <v>1</v>
      </c>
      <c r="C139" s="3">
        <v>1.17</v>
      </c>
      <c r="D139" s="2">
        <v>7</v>
      </c>
      <c r="E139" s="2">
        <f>TabelaMucambo[[#This Row],[Qtde]]*TabelaMucambo[[#This Row],[Vl. Unitário]]</f>
        <v>8.19</v>
      </c>
      <c r="F139" s="40" t="str">
        <f>VLOOKUP(TabelaMucambo[[#This Row],[Código+Produto]],Base!A:C,3,0)</f>
        <v>tomate mp</v>
      </c>
      <c r="G139" s="8" t="str">
        <f>VLOOKUP(A139,Base!A:D,4,0)</f>
        <v>HORTIFRUTI</v>
      </c>
    </row>
    <row r="140" spans="1:7" x14ac:dyDescent="0.25">
      <c r="A140" s="1" t="s">
        <v>33</v>
      </c>
      <c r="B140" s="1" t="s">
        <v>1</v>
      </c>
      <c r="C140" s="3">
        <v>19</v>
      </c>
      <c r="D140" s="2">
        <v>2.1053000000000002</v>
      </c>
      <c r="E140" s="2">
        <f>TabelaMucambo[[#This Row],[Qtde]]*TabelaMucambo[[#This Row],[Vl. Unitário]]</f>
        <v>40.000700000000002</v>
      </c>
      <c r="F140" s="7" t="str">
        <f>VLOOKUP(TabelaMucambo[[#This Row],[Código+Produto]],Base!A:C,3,0)</f>
        <v>laranja mp</v>
      </c>
      <c r="G140" s="8" t="str">
        <f>VLOOKUP(A140,Base!A:D,4,0)</f>
        <v>HORTIFRUTI</v>
      </c>
    </row>
    <row r="141" spans="1:7" x14ac:dyDescent="0.25">
      <c r="A141" s="1" t="s">
        <v>33</v>
      </c>
      <c r="B141" s="1" t="s">
        <v>1</v>
      </c>
      <c r="C141" s="3">
        <v>19</v>
      </c>
      <c r="D141" s="2">
        <v>2.1053000000000002</v>
      </c>
      <c r="E141" s="2">
        <f>TabelaMucambo[[#This Row],[Qtde]]*TabelaMucambo[[#This Row],[Vl. Unitário]]</f>
        <v>40.000700000000002</v>
      </c>
      <c r="F141" s="7" t="str">
        <f>VLOOKUP(TabelaMucambo[[#This Row],[Código+Produto]],Base!A:C,3,0)</f>
        <v>laranja mp</v>
      </c>
      <c r="G141" s="8" t="str">
        <f>VLOOKUP(A141,Base!A:D,4,0)</f>
        <v>HORTIFRUTI</v>
      </c>
    </row>
    <row r="142" spans="1:7" x14ac:dyDescent="0.25">
      <c r="A142" s="1" t="s">
        <v>33</v>
      </c>
      <c r="B142" s="1" t="s">
        <v>1</v>
      </c>
      <c r="C142" s="3">
        <v>18.95</v>
      </c>
      <c r="D142" s="2">
        <v>2.1053000000000002</v>
      </c>
      <c r="E142" s="2">
        <f>TabelaMucambo[[#This Row],[Qtde]]*TabelaMucambo[[#This Row],[Vl. Unitário]]</f>
        <v>39.895434999999999</v>
      </c>
      <c r="F142" s="7" t="str">
        <f>VLOOKUP(TabelaMucambo[[#This Row],[Código+Produto]],Base!A:C,3,0)</f>
        <v>laranja mp</v>
      </c>
      <c r="G142" s="8" t="str">
        <f>VLOOKUP(A142,Base!A:D,4,0)</f>
        <v>HORTIFRUTI</v>
      </c>
    </row>
    <row r="143" spans="1:7" x14ac:dyDescent="0.25">
      <c r="A143" s="1" t="s">
        <v>33</v>
      </c>
      <c r="B143" s="1" t="s">
        <v>1</v>
      </c>
      <c r="C143" s="3">
        <v>19</v>
      </c>
      <c r="D143" s="2">
        <v>2.1053000000000002</v>
      </c>
      <c r="E143" s="2">
        <f>TabelaMucambo[[#This Row],[Qtde]]*TabelaMucambo[[#This Row],[Vl. Unitário]]</f>
        <v>40.000700000000002</v>
      </c>
      <c r="F143" s="7" t="str">
        <f>VLOOKUP(TabelaMucambo[[#This Row],[Código+Produto]],Base!A:C,3,0)</f>
        <v>laranja mp</v>
      </c>
      <c r="G143" s="8" t="str">
        <f>VLOOKUP(A143,Base!A:D,4,0)</f>
        <v>HORTIFRUTI</v>
      </c>
    </row>
    <row r="144" spans="1:7" x14ac:dyDescent="0.25">
      <c r="A144" s="1" t="s">
        <v>33</v>
      </c>
      <c r="B144" s="1" t="s">
        <v>1</v>
      </c>
      <c r="C144" s="3">
        <v>19</v>
      </c>
      <c r="D144" s="2">
        <v>2.1053000000000002</v>
      </c>
      <c r="E144" s="2">
        <f>TabelaMucambo[[#This Row],[Qtde]]*TabelaMucambo[[#This Row],[Vl. Unitário]]</f>
        <v>40.000700000000002</v>
      </c>
      <c r="F144" s="7" t="str">
        <f>VLOOKUP(TabelaMucambo[[#This Row],[Código+Produto]],Base!A:C,3,0)</f>
        <v>laranja mp</v>
      </c>
      <c r="G144" s="8" t="str">
        <f>VLOOKUP(A144,Base!A:D,4,0)</f>
        <v>HORTIFRUTI</v>
      </c>
    </row>
    <row r="145" spans="1:7" x14ac:dyDescent="0.25">
      <c r="A145" s="1" t="s">
        <v>33</v>
      </c>
      <c r="B145" s="1" t="s">
        <v>1</v>
      </c>
      <c r="C145" s="3">
        <v>18.899999999999999</v>
      </c>
      <c r="D145" s="2">
        <v>2.1053000000000002</v>
      </c>
      <c r="E145" s="2">
        <f>TabelaMucambo[[#This Row],[Qtde]]*TabelaMucambo[[#This Row],[Vl. Unitário]]</f>
        <v>39.790170000000003</v>
      </c>
      <c r="F145" s="7" t="str">
        <f>VLOOKUP(TabelaMucambo[[#This Row],[Código+Produto]],Base!A:C,3,0)</f>
        <v>laranja mp</v>
      </c>
      <c r="G145" s="8" t="str">
        <f>VLOOKUP(A145,Base!A:D,4,0)</f>
        <v>HORTIFRUTI</v>
      </c>
    </row>
    <row r="146" spans="1:7" x14ac:dyDescent="0.25">
      <c r="A146" s="1" t="s">
        <v>33</v>
      </c>
      <c r="B146" s="1" t="s">
        <v>1</v>
      </c>
      <c r="C146" s="3">
        <v>18.350000000000001</v>
      </c>
      <c r="D146" s="2">
        <v>2.1053000000000002</v>
      </c>
      <c r="E146" s="2">
        <f>TabelaMucambo[[#This Row],[Qtde]]*TabelaMucambo[[#This Row],[Vl. Unitário]]</f>
        <v>38.632255000000008</v>
      </c>
      <c r="F146" s="7" t="str">
        <f>VLOOKUP(TabelaMucambo[[#This Row],[Código+Produto]],Base!A:C,3,0)</f>
        <v>laranja mp</v>
      </c>
      <c r="G146" s="8" t="str">
        <f>VLOOKUP(A146,Base!A:D,4,0)</f>
        <v>HORTIFRUTI</v>
      </c>
    </row>
    <row r="147" spans="1:7" x14ac:dyDescent="0.25">
      <c r="A147" s="1" t="s">
        <v>33</v>
      </c>
      <c r="B147" s="1" t="s">
        <v>1</v>
      </c>
      <c r="C147" s="3">
        <v>19</v>
      </c>
      <c r="D147" s="2">
        <v>2.1053000000000002</v>
      </c>
      <c r="E147" s="2">
        <f>TabelaMucambo[[#This Row],[Qtde]]*TabelaMucambo[[#This Row],[Vl. Unitário]]</f>
        <v>40.000700000000002</v>
      </c>
      <c r="F147" s="7" t="str">
        <f>VLOOKUP(TabelaMucambo[[#This Row],[Código+Produto]],Base!A:C,3,0)</f>
        <v>laranja mp</v>
      </c>
      <c r="G147" s="8" t="str">
        <f>VLOOKUP(A147,Base!A:D,4,0)</f>
        <v>HORTIFRUTI</v>
      </c>
    </row>
    <row r="148" spans="1:7" x14ac:dyDescent="0.25">
      <c r="A148" s="1" t="s">
        <v>33</v>
      </c>
      <c r="B148" s="1" t="s">
        <v>1</v>
      </c>
      <c r="C148" s="3">
        <v>20</v>
      </c>
      <c r="D148" s="2">
        <v>2.1053000000000002</v>
      </c>
      <c r="E148" s="2">
        <f>TabelaMucambo[[#This Row],[Qtde]]*TabelaMucambo[[#This Row],[Vl. Unitário]]</f>
        <v>42.106000000000002</v>
      </c>
      <c r="F148" s="7" t="str">
        <f>VLOOKUP(TabelaMucambo[[#This Row],[Código+Produto]],Base!A:C,3,0)</f>
        <v>laranja mp</v>
      </c>
      <c r="G148" s="8" t="str">
        <f>VLOOKUP(A148,Base!A:D,4,0)</f>
        <v>HORTIFRUTI</v>
      </c>
    </row>
    <row r="149" spans="1:7" x14ac:dyDescent="0.25">
      <c r="A149" s="1" t="s">
        <v>33</v>
      </c>
      <c r="B149" s="1" t="s">
        <v>1</v>
      </c>
      <c r="C149" s="3">
        <v>14.85</v>
      </c>
      <c r="D149" s="2">
        <v>2.1053000000000002</v>
      </c>
      <c r="E149" s="2">
        <f>TabelaMucambo[[#This Row],[Qtde]]*TabelaMucambo[[#This Row],[Vl. Unitário]]</f>
        <v>31.263705000000002</v>
      </c>
      <c r="F149" s="7" t="str">
        <f>VLOOKUP(TabelaMucambo[[#This Row],[Código+Produto]],Base!A:C,3,0)</f>
        <v>laranja mp</v>
      </c>
      <c r="G149" s="8" t="str">
        <f>VLOOKUP(A149,Base!A:D,4,0)</f>
        <v>HORTIFRUTI</v>
      </c>
    </row>
    <row r="150" spans="1:7" x14ac:dyDescent="0.25">
      <c r="A150" s="1" t="s">
        <v>33</v>
      </c>
      <c r="B150" s="1" t="s">
        <v>1</v>
      </c>
      <c r="C150" s="3">
        <v>19</v>
      </c>
      <c r="D150" s="2">
        <v>2.1053000000000002</v>
      </c>
      <c r="E150" s="2">
        <f>TabelaMucambo[[#This Row],[Qtde]]*TabelaMucambo[[#This Row],[Vl. Unitário]]</f>
        <v>40.000700000000002</v>
      </c>
      <c r="F150" s="7" t="str">
        <f>VLOOKUP(TabelaMucambo[[#This Row],[Código+Produto]],Base!A:C,3,0)</f>
        <v>laranja mp</v>
      </c>
      <c r="G150" s="8" t="str">
        <f>VLOOKUP(A150,Base!A:D,4,0)</f>
        <v>HORTIFRUTI</v>
      </c>
    </row>
    <row r="151" spans="1:7" x14ac:dyDescent="0.25">
      <c r="A151" s="1" t="s">
        <v>33</v>
      </c>
      <c r="B151" s="1" t="s">
        <v>1</v>
      </c>
      <c r="C151" s="3">
        <v>18</v>
      </c>
      <c r="D151" s="2">
        <v>2.1053000000000002</v>
      </c>
      <c r="E151" s="2">
        <f>TabelaMucambo[[#This Row],[Qtde]]*TabelaMucambo[[#This Row],[Vl. Unitário]]</f>
        <v>37.895400000000002</v>
      </c>
      <c r="F151" s="7" t="str">
        <f>VLOOKUP(TabelaMucambo[[#This Row],[Código+Produto]],Base!A:C,3,0)</f>
        <v>laranja mp</v>
      </c>
      <c r="G151" s="8" t="str">
        <f>VLOOKUP(A151,Base!A:D,4,0)</f>
        <v>HORTIFRUTI</v>
      </c>
    </row>
    <row r="152" spans="1:7" x14ac:dyDescent="0.25">
      <c r="A152" s="1" t="s">
        <v>33</v>
      </c>
      <c r="B152" s="1" t="s">
        <v>1</v>
      </c>
      <c r="C152" s="3">
        <v>19</v>
      </c>
      <c r="D152" s="2">
        <v>2.1053000000000002</v>
      </c>
      <c r="E152" s="2">
        <f>TabelaMucambo[[#This Row],[Qtde]]*TabelaMucambo[[#This Row],[Vl. Unitário]]</f>
        <v>40.000700000000002</v>
      </c>
      <c r="F152" s="7" t="str">
        <f>VLOOKUP(TabelaMucambo[[#This Row],[Código+Produto]],Base!A:C,3,0)</f>
        <v>laranja mp</v>
      </c>
      <c r="G152" s="8" t="str">
        <f>VLOOKUP(A152,Base!A:D,4,0)</f>
        <v>HORTIFRUTI</v>
      </c>
    </row>
    <row r="153" spans="1:7" x14ac:dyDescent="0.25">
      <c r="A153" s="1" t="s">
        <v>33</v>
      </c>
      <c r="B153" s="1" t="s">
        <v>1</v>
      </c>
      <c r="C153" s="3">
        <v>19</v>
      </c>
      <c r="D153" s="2">
        <v>2.1053000000000002</v>
      </c>
      <c r="E153" s="2">
        <f>TabelaMucambo[[#This Row],[Qtde]]*TabelaMucambo[[#This Row],[Vl. Unitário]]</f>
        <v>40.000700000000002</v>
      </c>
      <c r="F153" s="40" t="str">
        <f>VLOOKUP(TabelaMucambo[[#This Row],[Código+Produto]],Base!A:C,3,0)</f>
        <v>laranja mp</v>
      </c>
      <c r="G153" s="8" t="str">
        <f>VLOOKUP(A153,Base!A:D,4,0)</f>
        <v>HORTIFRUTI</v>
      </c>
    </row>
    <row r="154" spans="1:7" x14ac:dyDescent="0.25">
      <c r="A154" s="1" t="s">
        <v>33</v>
      </c>
      <c r="B154" s="1" t="s">
        <v>1</v>
      </c>
      <c r="C154" s="3">
        <v>19</v>
      </c>
      <c r="D154" s="2">
        <v>2.1053000000000002</v>
      </c>
      <c r="E154" s="2">
        <f>TabelaMucambo[[#This Row],[Qtde]]*TabelaMucambo[[#This Row],[Vl. Unitário]]</f>
        <v>40.000700000000002</v>
      </c>
      <c r="F154" s="40" t="str">
        <f>VLOOKUP(TabelaMucambo[[#This Row],[Código+Produto]],Base!A:C,3,0)</f>
        <v>laranja mp</v>
      </c>
      <c r="G154" s="8" t="str">
        <f>VLOOKUP(A154,Base!A:D,4,0)</f>
        <v>HORTIFRUTI</v>
      </c>
    </row>
    <row r="155" spans="1:7" x14ac:dyDescent="0.25">
      <c r="A155" s="1" t="s">
        <v>34</v>
      </c>
      <c r="B155" s="1" t="s">
        <v>1</v>
      </c>
      <c r="C155" s="3">
        <v>3.8</v>
      </c>
      <c r="D155" s="2">
        <v>4</v>
      </c>
      <c r="E155" s="2">
        <f>TabelaMucambo[[#This Row],[Qtde]]*TabelaMucambo[[#This Row],[Vl. Unitário]]</f>
        <v>15.2</v>
      </c>
      <c r="F155" s="7" t="str">
        <f>VLOOKUP(TabelaMucambo[[#This Row],[Código+Produto]],Base!A:C,3,0)</f>
        <v>limao mp</v>
      </c>
      <c r="G155" s="8" t="str">
        <f>VLOOKUP(A155,Base!A:D,4,0)</f>
        <v>HORTIFRUTI</v>
      </c>
    </row>
    <row r="156" spans="1:7" x14ac:dyDescent="0.25">
      <c r="A156" s="1" t="s">
        <v>34</v>
      </c>
      <c r="B156" s="1" t="s">
        <v>1</v>
      </c>
      <c r="C156" s="3">
        <v>4.4000000000000004</v>
      </c>
      <c r="D156" s="2">
        <v>4</v>
      </c>
      <c r="E156" s="2">
        <f>TabelaMucambo[[#This Row],[Qtde]]*TabelaMucambo[[#This Row],[Vl. Unitário]]</f>
        <v>17.600000000000001</v>
      </c>
      <c r="F156" s="40" t="str">
        <f>VLOOKUP(TabelaMucambo[[#This Row],[Código+Produto]],Base!A:C,3,0)</f>
        <v>limao mp</v>
      </c>
      <c r="G156" s="8" t="str">
        <f>VLOOKUP(A156,Base!A:D,4,0)</f>
        <v>HORTIFRUTI</v>
      </c>
    </row>
    <row r="157" spans="1:7" x14ac:dyDescent="0.25">
      <c r="A157" s="1" t="s">
        <v>31</v>
      </c>
      <c r="B157" s="1" t="s">
        <v>1</v>
      </c>
      <c r="C157" s="3">
        <v>1.1499999999999999</v>
      </c>
      <c r="D157" s="2">
        <v>20</v>
      </c>
      <c r="E157" s="2">
        <f>TabelaMucambo[[#This Row],[Qtde]]*TabelaMucambo[[#This Row],[Vl. Unitário]]</f>
        <v>23</v>
      </c>
      <c r="F157" s="7" t="str">
        <f>VLOOKUP(TabelaMucambo[[#This Row],[Código+Produto]],Base!A:C,3,0)</f>
        <v>morango mp</v>
      </c>
      <c r="G157" s="8" t="str">
        <f>VLOOKUP(A157,Base!A:D,4,0)</f>
        <v>HORTIFRUTI</v>
      </c>
    </row>
    <row r="158" spans="1:7" x14ac:dyDescent="0.25">
      <c r="A158" s="1" t="s">
        <v>31</v>
      </c>
      <c r="B158" s="1" t="s">
        <v>1</v>
      </c>
      <c r="C158" s="3">
        <v>0.9</v>
      </c>
      <c r="D158" s="2">
        <v>35</v>
      </c>
      <c r="E158" s="2">
        <f>TabelaMucambo[[#This Row],[Qtde]]*TabelaMucambo[[#This Row],[Vl. Unitário]]</f>
        <v>31.5</v>
      </c>
      <c r="F158" s="7" t="str">
        <f>VLOOKUP(TabelaMucambo[[#This Row],[Código+Produto]],Base!A:C,3,0)</f>
        <v>morango mp</v>
      </c>
      <c r="G158" s="8" t="str">
        <f>VLOOKUP(A158,Base!A:D,4,0)</f>
        <v>HORTIFRUTI</v>
      </c>
    </row>
    <row r="159" spans="1:7" x14ac:dyDescent="0.25">
      <c r="A159" s="1" t="s">
        <v>13</v>
      </c>
      <c r="B159" s="1" t="s">
        <v>14</v>
      </c>
      <c r="C159" s="3">
        <v>3</v>
      </c>
      <c r="D159" s="2">
        <v>3.6111</v>
      </c>
      <c r="E159" s="2">
        <f>TabelaMucambo[[#This Row],[Qtde]]*TabelaMucambo[[#This Row],[Vl. Unitário]]</f>
        <v>10.833299999999999</v>
      </c>
      <c r="F159" s="7" t="str">
        <f>VLOOKUP(TabelaMucambo[[#This Row],[Código+Produto]],Base!A:C,3,0)</f>
        <v>abacaxi mp</v>
      </c>
      <c r="G159" s="8" t="str">
        <f>VLOOKUP(A159,Base!A:D,4,0)</f>
        <v>HORTIFRUTI</v>
      </c>
    </row>
    <row r="160" spans="1:7" x14ac:dyDescent="0.25">
      <c r="A160" s="1" t="s">
        <v>13</v>
      </c>
      <c r="B160" s="1" t="s">
        <v>14</v>
      </c>
      <c r="C160" s="3">
        <v>2</v>
      </c>
      <c r="D160" s="2">
        <v>3.6111</v>
      </c>
      <c r="E160" s="2">
        <f>TabelaMucambo[[#This Row],[Qtde]]*TabelaMucambo[[#This Row],[Vl. Unitário]]</f>
        <v>7.2222</v>
      </c>
      <c r="F160" s="7" t="str">
        <f>VLOOKUP(TabelaMucambo[[#This Row],[Código+Produto]],Base!A:C,3,0)</f>
        <v>abacaxi mp</v>
      </c>
      <c r="G160" s="8" t="str">
        <f>VLOOKUP(A160,Base!A:D,4,0)</f>
        <v>HORTIFRUTI</v>
      </c>
    </row>
    <row r="161" spans="1:7" x14ac:dyDescent="0.25">
      <c r="A161" s="1" t="s">
        <v>13</v>
      </c>
      <c r="B161" s="1" t="s">
        <v>14</v>
      </c>
      <c r="C161" s="3">
        <v>2</v>
      </c>
      <c r="D161" s="2">
        <v>3.6111</v>
      </c>
      <c r="E161" s="2">
        <f>TabelaMucambo[[#This Row],[Qtde]]*TabelaMucambo[[#This Row],[Vl. Unitário]]</f>
        <v>7.2222</v>
      </c>
      <c r="F161" s="7" t="str">
        <f>VLOOKUP(TabelaMucambo[[#This Row],[Código+Produto]],Base!A:C,3,0)</f>
        <v>abacaxi mp</v>
      </c>
      <c r="G161" s="8" t="str">
        <f>VLOOKUP(A161,Base!A:D,4,0)</f>
        <v>HORTIFRUTI</v>
      </c>
    </row>
    <row r="162" spans="1:7" x14ac:dyDescent="0.25">
      <c r="A162" s="1" t="s">
        <v>13</v>
      </c>
      <c r="B162" s="1" t="s">
        <v>14</v>
      </c>
      <c r="C162" s="3">
        <v>2</v>
      </c>
      <c r="D162" s="2">
        <v>3.6111</v>
      </c>
      <c r="E162" s="2">
        <f>TabelaMucambo[[#This Row],[Qtde]]*TabelaMucambo[[#This Row],[Vl. Unitário]]</f>
        <v>7.2222</v>
      </c>
      <c r="F162" s="7" t="str">
        <f>VLOOKUP(TabelaMucambo[[#This Row],[Código+Produto]],Base!A:C,3,0)</f>
        <v>abacaxi mp</v>
      </c>
      <c r="G162" s="8" t="str">
        <f>VLOOKUP(A162,Base!A:D,4,0)</f>
        <v>HORTIFRUTI</v>
      </c>
    </row>
    <row r="163" spans="1:7" x14ac:dyDescent="0.25">
      <c r="A163" s="1" t="s">
        <v>13</v>
      </c>
      <c r="B163" s="1" t="s">
        <v>14</v>
      </c>
      <c r="C163" s="3">
        <v>3</v>
      </c>
      <c r="D163" s="2">
        <v>3.6111</v>
      </c>
      <c r="E163" s="2">
        <f>TabelaMucambo[[#This Row],[Qtde]]*TabelaMucambo[[#This Row],[Vl. Unitário]]</f>
        <v>10.833299999999999</v>
      </c>
      <c r="F163" s="7" t="str">
        <f>VLOOKUP(TabelaMucambo[[#This Row],[Código+Produto]],Base!A:C,3,0)</f>
        <v>abacaxi mp</v>
      </c>
      <c r="G163" s="8" t="str">
        <f>VLOOKUP(A163,Base!A:D,4,0)</f>
        <v>HORTIFRUTI</v>
      </c>
    </row>
    <row r="164" spans="1:7" x14ac:dyDescent="0.25">
      <c r="A164" s="1" t="s">
        <v>13</v>
      </c>
      <c r="B164" s="1" t="s">
        <v>14</v>
      </c>
      <c r="C164" s="3">
        <v>3</v>
      </c>
      <c r="D164" s="2">
        <v>3.6111</v>
      </c>
      <c r="E164" s="2">
        <f>TabelaMucambo[[#This Row],[Qtde]]*TabelaMucambo[[#This Row],[Vl. Unitário]]</f>
        <v>10.833299999999999</v>
      </c>
      <c r="F164" s="7" t="str">
        <f>VLOOKUP(TabelaMucambo[[#This Row],[Código+Produto]],Base!A:C,3,0)</f>
        <v>abacaxi mp</v>
      </c>
      <c r="G164" s="8" t="str">
        <f>VLOOKUP(A164,Base!A:D,4,0)</f>
        <v>HORTIFRUTI</v>
      </c>
    </row>
    <row r="165" spans="1:7" x14ac:dyDescent="0.25">
      <c r="A165" s="1" t="s">
        <v>13</v>
      </c>
      <c r="B165" s="1" t="s">
        <v>14</v>
      </c>
      <c r="C165" s="3">
        <v>2</v>
      </c>
      <c r="D165" s="2">
        <v>3.6111</v>
      </c>
      <c r="E165" s="2">
        <f>TabelaMucambo[[#This Row],[Qtde]]*TabelaMucambo[[#This Row],[Vl. Unitário]]</f>
        <v>7.2222</v>
      </c>
      <c r="F165" s="7" t="str">
        <f>VLOOKUP(TabelaMucambo[[#This Row],[Código+Produto]],Base!A:C,3,0)</f>
        <v>abacaxi mp</v>
      </c>
      <c r="G165" s="8" t="str">
        <f>VLOOKUP(A165,Base!A:D,4,0)</f>
        <v>HORTIFRUTI</v>
      </c>
    </row>
    <row r="166" spans="1:7" x14ac:dyDescent="0.25">
      <c r="A166" s="1" t="s">
        <v>13</v>
      </c>
      <c r="B166" s="1" t="s">
        <v>14</v>
      </c>
      <c r="C166" s="3">
        <v>3</v>
      </c>
      <c r="D166" s="2">
        <v>3.6111</v>
      </c>
      <c r="E166" s="2">
        <f>TabelaMucambo[[#This Row],[Qtde]]*TabelaMucambo[[#This Row],[Vl. Unitário]]</f>
        <v>10.833299999999999</v>
      </c>
      <c r="F166" s="7" t="str">
        <f>VLOOKUP(TabelaMucambo[[#This Row],[Código+Produto]],Base!A:C,3,0)</f>
        <v>abacaxi mp</v>
      </c>
      <c r="G166" s="8" t="str">
        <f>VLOOKUP(A166,Base!A:D,4,0)</f>
        <v>HORTIFRUTI</v>
      </c>
    </row>
    <row r="167" spans="1:7" x14ac:dyDescent="0.25">
      <c r="A167" s="1" t="s">
        <v>13</v>
      </c>
      <c r="B167" s="1" t="s">
        <v>14</v>
      </c>
      <c r="C167" s="3">
        <v>2</v>
      </c>
      <c r="D167" s="2">
        <v>3.6111</v>
      </c>
      <c r="E167" s="2">
        <f>TabelaMucambo[[#This Row],[Qtde]]*TabelaMucambo[[#This Row],[Vl. Unitário]]</f>
        <v>7.2222</v>
      </c>
      <c r="F167" s="7" t="str">
        <f>VLOOKUP(TabelaMucambo[[#This Row],[Código+Produto]],Base!A:C,3,0)</f>
        <v>abacaxi mp</v>
      </c>
      <c r="G167" s="8" t="str">
        <f>VLOOKUP(A167,Base!A:D,4,0)</f>
        <v>HORTIFRUTI</v>
      </c>
    </row>
    <row r="168" spans="1:7" x14ac:dyDescent="0.25">
      <c r="A168" s="1" t="s">
        <v>13</v>
      </c>
      <c r="B168" s="1" t="s">
        <v>14</v>
      </c>
      <c r="C168" s="3">
        <v>2</v>
      </c>
      <c r="D168" s="2">
        <v>3.6111</v>
      </c>
      <c r="E168" s="2">
        <f>TabelaMucambo[[#This Row],[Qtde]]*TabelaMucambo[[#This Row],[Vl. Unitário]]</f>
        <v>7.2222</v>
      </c>
      <c r="F168" s="7" t="str">
        <f>VLOOKUP(TabelaMucambo[[#This Row],[Código+Produto]],Base!A:C,3,0)</f>
        <v>abacaxi mp</v>
      </c>
      <c r="G168" s="8" t="str">
        <f>VLOOKUP(A168,Base!A:D,4,0)</f>
        <v>HORTIFRUTI</v>
      </c>
    </row>
    <row r="169" spans="1:7" x14ac:dyDescent="0.25">
      <c r="A169" s="1" t="s">
        <v>13</v>
      </c>
      <c r="B169" s="1" t="s">
        <v>14</v>
      </c>
      <c r="C169" s="3">
        <v>3</v>
      </c>
      <c r="D169" s="2">
        <v>3.6111</v>
      </c>
      <c r="E169" s="2">
        <f>TabelaMucambo[[#This Row],[Qtde]]*TabelaMucambo[[#This Row],[Vl. Unitário]]</f>
        <v>10.833299999999999</v>
      </c>
      <c r="F169" s="7" t="str">
        <f>VLOOKUP(TabelaMucambo[[#This Row],[Código+Produto]],Base!A:C,3,0)</f>
        <v>abacaxi mp</v>
      </c>
      <c r="G169" s="8" t="str">
        <f>VLOOKUP(A169,Base!A:D,4,0)</f>
        <v>HORTIFRUTI</v>
      </c>
    </row>
    <row r="170" spans="1:7" x14ac:dyDescent="0.25">
      <c r="A170" s="1" t="s">
        <v>35</v>
      </c>
      <c r="B170" s="1" t="s">
        <v>1</v>
      </c>
      <c r="C170" s="3">
        <v>2.7</v>
      </c>
      <c r="D170" s="2">
        <v>3.7837999999999998</v>
      </c>
      <c r="E170" s="2">
        <f>TabelaMucambo[[#This Row],[Qtde]]*TabelaMucambo[[#This Row],[Vl. Unitário]]</f>
        <v>10.21626</v>
      </c>
      <c r="F170" s="7" t="str">
        <f>VLOOKUP(TabelaMucambo[[#This Row],[Código+Produto]],Base!A:C,3,0)</f>
        <v>aipim mp</v>
      </c>
      <c r="G170" s="8" t="str">
        <f>VLOOKUP(A170,Base!A:D,4,0)</f>
        <v>HORTIFRUTI</v>
      </c>
    </row>
    <row r="171" spans="1:7" x14ac:dyDescent="0.25">
      <c r="A171" s="1" t="s">
        <v>26</v>
      </c>
      <c r="B171" s="1" t="s">
        <v>1</v>
      </c>
      <c r="C171" s="3">
        <v>1.8</v>
      </c>
      <c r="D171" s="2">
        <v>0.75</v>
      </c>
      <c r="E171" s="2">
        <f>TabelaMucambo[[#This Row],[Qtde]]*TabelaMucambo[[#This Row],[Vl. Unitário]]</f>
        <v>1.35</v>
      </c>
      <c r="F171" s="7" t="str">
        <f>VLOOKUP(TabelaMucambo[[#This Row],[Código+Produto]],Base!A:C,3,0)</f>
        <v>alface mp</v>
      </c>
      <c r="G171" s="8" t="str">
        <f>VLOOKUP(A171,Base!A:D,4,0)</f>
        <v>HORTIFRUTI</v>
      </c>
    </row>
    <row r="172" spans="1:7" x14ac:dyDescent="0.25">
      <c r="A172" s="1" t="s">
        <v>26</v>
      </c>
      <c r="B172" s="1" t="s">
        <v>1</v>
      </c>
      <c r="C172" s="3">
        <v>0.9</v>
      </c>
      <c r="D172" s="2">
        <v>0.75</v>
      </c>
      <c r="E172" s="2">
        <f>TabelaMucambo[[#This Row],[Qtde]]*TabelaMucambo[[#This Row],[Vl. Unitário]]</f>
        <v>0.67500000000000004</v>
      </c>
      <c r="F172" s="7" t="str">
        <f>VLOOKUP(TabelaMucambo[[#This Row],[Código+Produto]],Base!A:C,3,0)</f>
        <v>alface mp</v>
      </c>
      <c r="G172" s="8" t="str">
        <f>VLOOKUP(A172,Base!A:D,4,0)</f>
        <v>HORTIFRUTI</v>
      </c>
    </row>
    <row r="173" spans="1:7" x14ac:dyDescent="0.25">
      <c r="A173" s="1" t="s">
        <v>26</v>
      </c>
      <c r="B173" s="1" t="s">
        <v>1</v>
      </c>
      <c r="C173" s="3">
        <v>0.6</v>
      </c>
      <c r="D173" s="2">
        <v>0.75</v>
      </c>
      <c r="E173" s="2">
        <f>TabelaMucambo[[#This Row],[Qtde]]*TabelaMucambo[[#This Row],[Vl. Unitário]]</f>
        <v>0.44999999999999996</v>
      </c>
      <c r="F173" s="7" t="str">
        <f>VLOOKUP(TabelaMucambo[[#This Row],[Código+Produto]],Base!A:C,3,0)</f>
        <v>alface mp</v>
      </c>
      <c r="G173" s="8" t="str">
        <f>VLOOKUP(A173,Base!A:D,4,0)</f>
        <v>HORTIFRUTI</v>
      </c>
    </row>
    <row r="174" spans="1:7" x14ac:dyDescent="0.25">
      <c r="A174" s="1" t="s">
        <v>26</v>
      </c>
      <c r="B174" s="1" t="s">
        <v>1</v>
      </c>
      <c r="C174" s="3">
        <v>0.8</v>
      </c>
      <c r="D174" s="2">
        <v>0.75</v>
      </c>
      <c r="E174" s="2">
        <f>TabelaMucambo[[#This Row],[Qtde]]*TabelaMucambo[[#This Row],[Vl. Unitário]]</f>
        <v>0.60000000000000009</v>
      </c>
      <c r="F174" s="7" t="str">
        <f>VLOOKUP(TabelaMucambo[[#This Row],[Código+Produto]],Base!A:C,3,0)</f>
        <v>alface mp</v>
      </c>
      <c r="G174" s="8" t="str">
        <f>VLOOKUP(A174,Base!A:D,4,0)</f>
        <v>HORTIFRUTI</v>
      </c>
    </row>
    <row r="175" spans="1:7" x14ac:dyDescent="0.25">
      <c r="A175" s="1" t="s">
        <v>26</v>
      </c>
      <c r="B175" s="1" t="s">
        <v>1</v>
      </c>
      <c r="C175" s="3">
        <v>1.3</v>
      </c>
      <c r="D175" s="2">
        <v>0.75</v>
      </c>
      <c r="E175" s="2">
        <f>TabelaMucambo[[#This Row],[Qtde]]*TabelaMucambo[[#This Row],[Vl. Unitário]]</f>
        <v>0.97500000000000009</v>
      </c>
      <c r="F175" s="7" t="str">
        <f>VLOOKUP(TabelaMucambo[[#This Row],[Código+Produto]],Base!A:C,3,0)</f>
        <v>alface mp</v>
      </c>
      <c r="G175" s="8" t="str">
        <f>VLOOKUP(A175,Base!A:D,4,0)</f>
        <v>HORTIFRUTI</v>
      </c>
    </row>
    <row r="176" spans="1:7" x14ac:dyDescent="0.25">
      <c r="A176" s="1" t="s">
        <v>26</v>
      </c>
      <c r="B176" s="1" t="s">
        <v>1</v>
      </c>
      <c r="C176" s="3">
        <v>0.65</v>
      </c>
      <c r="D176" s="2">
        <v>0.75</v>
      </c>
      <c r="E176" s="2">
        <f>TabelaMucambo[[#This Row],[Qtde]]*TabelaMucambo[[#This Row],[Vl. Unitário]]</f>
        <v>0.48750000000000004</v>
      </c>
      <c r="F176" s="7" t="str">
        <f>VLOOKUP(TabelaMucambo[[#This Row],[Código+Produto]],Base!A:C,3,0)</f>
        <v>alface mp</v>
      </c>
      <c r="G176" s="8" t="str">
        <f>VLOOKUP(A176,Base!A:D,4,0)</f>
        <v>HORTIFRUTI</v>
      </c>
    </row>
    <row r="177" spans="1:7" x14ac:dyDescent="0.25">
      <c r="A177" s="1" t="s">
        <v>26</v>
      </c>
      <c r="B177" s="1" t="s">
        <v>1</v>
      </c>
      <c r="C177" s="3">
        <v>0.62</v>
      </c>
      <c r="D177" s="2">
        <v>0.75</v>
      </c>
      <c r="E177" s="2">
        <f>TabelaMucambo[[#This Row],[Qtde]]*TabelaMucambo[[#This Row],[Vl. Unitário]]</f>
        <v>0.46499999999999997</v>
      </c>
      <c r="F177" s="40" t="str">
        <f>VLOOKUP(TabelaMucambo[[#This Row],[Código+Produto]],Base!A:C,3,0)</f>
        <v>alface mp</v>
      </c>
      <c r="G177" s="8" t="str">
        <f>VLOOKUP(A177,Base!A:D,4,0)</f>
        <v>HORTIFRUTI</v>
      </c>
    </row>
    <row r="178" spans="1:7" x14ac:dyDescent="0.25">
      <c r="A178" s="1" t="s">
        <v>52</v>
      </c>
      <c r="B178" s="1" t="s">
        <v>1</v>
      </c>
      <c r="C178" s="3">
        <v>1.7</v>
      </c>
      <c r="D178" s="2">
        <v>8</v>
      </c>
      <c r="E178" s="2">
        <f>TabelaMucambo[[#This Row],[Qtde]]*TabelaMucambo[[#This Row],[Vl. Unitário]]</f>
        <v>13.6</v>
      </c>
      <c r="F178" s="7" t="str">
        <f>VLOOKUP(TabelaMucambo[[#This Row],[Código+Produto]],Base!A:C,3,0)</f>
        <v>alho mp</v>
      </c>
      <c r="G178" s="8" t="str">
        <f>VLOOKUP(A178,Base!A:D,4,0)</f>
        <v>HORTIFRUTI</v>
      </c>
    </row>
    <row r="179" spans="1:7" x14ac:dyDescent="0.25">
      <c r="A179" s="1" t="s">
        <v>52</v>
      </c>
      <c r="B179" s="1" t="s">
        <v>1</v>
      </c>
      <c r="C179" s="3">
        <v>2.2999999999999998</v>
      </c>
      <c r="D179" s="2">
        <v>8</v>
      </c>
      <c r="E179" s="2">
        <f>TabelaMucambo[[#This Row],[Qtde]]*TabelaMucambo[[#This Row],[Vl. Unitário]]</f>
        <v>18.399999999999999</v>
      </c>
      <c r="F179" s="7" t="str">
        <f>VLOOKUP(TabelaMucambo[[#This Row],[Código+Produto]],Base!A:C,3,0)</f>
        <v>alho mp</v>
      </c>
      <c r="G179" s="8" t="str">
        <f>VLOOKUP(A179,Base!A:D,4,0)</f>
        <v>HORTIFRUTI</v>
      </c>
    </row>
    <row r="180" spans="1:7" x14ac:dyDescent="0.25">
      <c r="A180" s="1" t="s">
        <v>52</v>
      </c>
      <c r="B180" s="1" t="s">
        <v>1</v>
      </c>
      <c r="C180" s="3">
        <v>1.25</v>
      </c>
      <c r="D180" s="2">
        <v>8</v>
      </c>
      <c r="E180" s="2">
        <f>TabelaMucambo[[#This Row],[Qtde]]*TabelaMucambo[[#This Row],[Vl. Unitário]]</f>
        <v>10</v>
      </c>
      <c r="F180" s="7" t="str">
        <f>VLOOKUP(TabelaMucambo[[#This Row],[Código+Produto]],Base!A:C,3,0)</f>
        <v>alho mp</v>
      </c>
      <c r="G180" s="8" t="str">
        <f>VLOOKUP(A180,Base!A:D,4,0)</f>
        <v>HORTIFRUTI</v>
      </c>
    </row>
    <row r="181" spans="1:7" x14ac:dyDescent="0.25">
      <c r="A181" s="1" t="s">
        <v>52</v>
      </c>
      <c r="B181" s="1" t="s">
        <v>1</v>
      </c>
      <c r="C181" s="3">
        <v>2.8</v>
      </c>
      <c r="D181" s="2">
        <v>8</v>
      </c>
      <c r="E181" s="2">
        <f>TabelaMucambo[[#This Row],[Qtde]]*TabelaMucambo[[#This Row],[Vl. Unitário]]</f>
        <v>22.4</v>
      </c>
      <c r="F181" s="7" t="str">
        <f>VLOOKUP(TabelaMucambo[[#This Row],[Código+Produto]],Base!A:C,3,0)</f>
        <v>alho mp</v>
      </c>
      <c r="G181" s="8" t="str">
        <f>VLOOKUP(A181,Base!A:D,4,0)</f>
        <v>HORTIFRUTI</v>
      </c>
    </row>
    <row r="182" spans="1:7" x14ac:dyDescent="0.25">
      <c r="A182" s="1" t="s">
        <v>52</v>
      </c>
      <c r="B182" s="1" t="s">
        <v>1</v>
      </c>
      <c r="C182" s="3">
        <v>2.5499999999999998</v>
      </c>
      <c r="D182" s="2">
        <v>8</v>
      </c>
      <c r="E182" s="2">
        <f>TabelaMucambo[[#This Row],[Qtde]]*TabelaMucambo[[#This Row],[Vl. Unitário]]</f>
        <v>20.399999999999999</v>
      </c>
      <c r="F182" s="7" t="str">
        <f>VLOOKUP(TabelaMucambo[[#This Row],[Código+Produto]],Base!A:C,3,0)</f>
        <v>alho mp</v>
      </c>
      <c r="G182" s="8" t="str">
        <f>VLOOKUP(A182,Base!A:D,4,0)</f>
        <v>HORTIFRUTI</v>
      </c>
    </row>
    <row r="183" spans="1:7" x14ac:dyDescent="0.25">
      <c r="A183" s="1" t="s">
        <v>1195</v>
      </c>
      <c r="B183" s="1" t="s">
        <v>1</v>
      </c>
      <c r="C183" s="3">
        <v>24.5</v>
      </c>
      <c r="D183" s="2">
        <v>2.7082999999999999</v>
      </c>
      <c r="E183" s="2">
        <f>TabelaMucambo[[#This Row],[Qtde]]*TabelaMucambo[[#This Row],[Vl. Unitário]]</f>
        <v>66.353349999999992</v>
      </c>
      <c r="F183" s="7" t="str">
        <f>VLOOKUP(TabelaMucambo[[#This Row],[Código+Produto]],Base!A:C,3,0)</f>
        <v>batata inglesa mp</v>
      </c>
      <c r="G183" s="8" t="str">
        <f>VLOOKUP(A183,Base!A:D,4,0)</f>
        <v>HORTIFRUTI</v>
      </c>
    </row>
    <row r="184" spans="1:7" x14ac:dyDescent="0.25">
      <c r="A184" s="1" t="s">
        <v>1195</v>
      </c>
      <c r="B184" s="1" t="s">
        <v>1</v>
      </c>
      <c r="C184" s="3">
        <v>24.75</v>
      </c>
      <c r="D184" s="2">
        <v>2.7082999999999999</v>
      </c>
      <c r="E184" s="2">
        <f>TabelaMucambo[[#This Row],[Qtde]]*TabelaMucambo[[#This Row],[Vl. Unitário]]</f>
        <v>67.030424999999994</v>
      </c>
      <c r="F184" s="7" t="str">
        <f>VLOOKUP(TabelaMucambo[[#This Row],[Código+Produto]],Base!A:C,3,0)</f>
        <v>batata inglesa mp</v>
      </c>
      <c r="G184" s="8" t="str">
        <f>VLOOKUP(A184,Base!A:D,4,0)</f>
        <v>HORTIFRUTI</v>
      </c>
    </row>
    <row r="185" spans="1:7" x14ac:dyDescent="0.25">
      <c r="A185" s="1" t="s">
        <v>1195</v>
      </c>
      <c r="B185" s="1" t="s">
        <v>1</v>
      </c>
      <c r="C185" s="3">
        <v>24.25</v>
      </c>
      <c r="D185" s="2">
        <v>2.7082999999999999</v>
      </c>
      <c r="E185" s="2">
        <f>TabelaMucambo[[#This Row],[Qtde]]*TabelaMucambo[[#This Row],[Vl. Unitário]]</f>
        <v>65.676275000000004</v>
      </c>
      <c r="F185" s="7" t="str">
        <f>VLOOKUP(TabelaMucambo[[#This Row],[Código+Produto]],Base!A:C,3,0)</f>
        <v>batata inglesa mp</v>
      </c>
      <c r="G185" s="8" t="str">
        <f>VLOOKUP(A185,Base!A:D,4,0)</f>
        <v>HORTIFRUTI</v>
      </c>
    </row>
    <row r="186" spans="1:7" x14ac:dyDescent="0.25">
      <c r="A186" s="1" t="s">
        <v>1195</v>
      </c>
      <c r="B186" s="1" t="s">
        <v>1</v>
      </c>
      <c r="C186" s="3">
        <v>5.35</v>
      </c>
      <c r="D186" s="2">
        <v>2.7082999999999999</v>
      </c>
      <c r="E186" s="2">
        <f>TabelaMucambo[[#This Row],[Qtde]]*TabelaMucambo[[#This Row],[Vl. Unitário]]</f>
        <v>14.489404999999998</v>
      </c>
      <c r="F186" s="7" t="str">
        <f>VLOOKUP(TabelaMucambo[[#This Row],[Código+Produto]],Base!A:C,3,0)</f>
        <v>batata inglesa mp</v>
      </c>
      <c r="G186" s="8" t="str">
        <f>VLOOKUP(A186,Base!A:D,4,0)</f>
        <v>HORTIFRUTI</v>
      </c>
    </row>
    <row r="187" spans="1:7" x14ac:dyDescent="0.25">
      <c r="A187" s="1" t="s">
        <v>1195</v>
      </c>
      <c r="B187" s="1" t="s">
        <v>1</v>
      </c>
      <c r="C187" s="3">
        <v>24.2</v>
      </c>
      <c r="D187" s="2">
        <v>2.7082999999999999</v>
      </c>
      <c r="E187" s="2">
        <f>TabelaMucambo[[#This Row],[Qtde]]*TabelaMucambo[[#This Row],[Vl. Unitário]]</f>
        <v>65.540859999999995</v>
      </c>
      <c r="F187" s="7" t="str">
        <f>VLOOKUP(TabelaMucambo[[#This Row],[Código+Produto]],Base!A:C,3,0)</f>
        <v>batata inglesa mp</v>
      </c>
      <c r="G187" s="8" t="str">
        <f>VLOOKUP(A187,Base!A:D,4,0)</f>
        <v>HORTIFRUTI</v>
      </c>
    </row>
    <row r="188" spans="1:7" x14ac:dyDescent="0.25">
      <c r="A188" s="1" t="s">
        <v>1195</v>
      </c>
      <c r="B188" s="1" t="s">
        <v>1</v>
      </c>
      <c r="C188" s="3">
        <v>24</v>
      </c>
      <c r="D188" s="2">
        <v>2.7082999999999999</v>
      </c>
      <c r="E188" s="2">
        <f>TabelaMucambo[[#This Row],[Qtde]]*TabelaMucambo[[#This Row],[Vl. Unitário]]</f>
        <v>64.999200000000002</v>
      </c>
      <c r="F188" s="7" t="str">
        <f>VLOOKUP(TabelaMucambo[[#This Row],[Código+Produto]],Base!A:C,3,0)</f>
        <v>batata inglesa mp</v>
      </c>
      <c r="G188" s="8" t="str">
        <f>VLOOKUP(A188,Base!A:D,4,0)</f>
        <v>HORTIFRUTI</v>
      </c>
    </row>
    <row r="189" spans="1:7" x14ac:dyDescent="0.25">
      <c r="A189" s="1" t="s">
        <v>1195</v>
      </c>
      <c r="B189" s="1" t="s">
        <v>1</v>
      </c>
      <c r="C189" s="3">
        <v>23.8</v>
      </c>
      <c r="D189" s="2">
        <v>2.7082999999999999</v>
      </c>
      <c r="E189" s="2">
        <f>TabelaMucambo[[#This Row],[Qtde]]*TabelaMucambo[[#This Row],[Vl. Unitário]]</f>
        <v>64.457539999999995</v>
      </c>
      <c r="F189" s="7" t="str">
        <f>VLOOKUP(TabelaMucambo[[#This Row],[Código+Produto]],Base!A:C,3,0)</f>
        <v>batata inglesa mp</v>
      </c>
      <c r="G189" s="8" t="str">
        <f>VLOOKUP(A189,Base!A:D,4,0)</f>
        <v>HORTIFRUTI</v>
      </c>
    </row>
    <row r="190" spans="1:7" x14ac:dyDescent="0.25">
      <c r="A190" s="1" t="s">
        <v>1195</v>
      </c>
      <c r="B190" s="1" t="s">
        <v>1</v>
      </c>
      <c r="C190" s="3">
        <v>24</v>
      </c>
      <c r="D190" s="2">
        <v>2.7082999999999999</v>
      </c>
      <c r="E190" s="2">
        <f>TabelaMucambo[[#This Row],[Qtde]]*TabelaMucambo[[#This Row],[Vl. Unitário]]</f>
        <v>64.999200000000002</v>
      </c>
      <c r="F190" s="7" t="str">
        <f>VLOOKUP(TabelaMucambo[[#This Row],[Código+Produto]],Base!A:C,3,0)</f>
        <v>batata inglesa mp</v>
      </c>
      <c r="G190" s="8" t="str">
        <f>VLOOKUP(A190,Base!A:D,4,0)</f>
        <v>HORTIFRUTI</v>
      </c>
    </row>
    <row r="191" spans="1:7" x14ac:dyDescent="0.25">
      <c r="A191" s="1" t="s">
        <v>1195</v>
      </c>
      <c r="B191" s="1" t="s">
        <v>1</v>
      </c>
      <c r="C191" s="3">
        <v>13.35</v>
      </c>
      <c r="D191" s="2">
        <v>2.7082999999999999</v>
      </c>
      <c r="E191" s="2">
        <f>TabelaMucambo[[#This Row],[Qtde]]*TabelaMucambo[[#This Row],[Vl. Unitário]]</f>
        <v>36.155805000000001</v>
      </c>
      <c r="F191" s="7" t="str">
        <f>VLOOKUP(TabelaMucambo[[#This Row],[Código+Produto]],Base!A:C,3,0)</f>
        <v>batata inglesa mp</v>
      </c>
      <c r="G191" s="8" t="str">
        <f>VLOOKUP(A191,Base!A:D,4,0)</f>
        <v>HORTIFRUTI</v>
      </c>
    </row>
    <row r="192" spans="1:7" x14ac:dyDescent="0.25">
      <c r="A192" s="1" t="s">
        <v>48</v>
      </c>
      <c r="B192" s="1" t="s">
        <v>1</v>
      </c>
      <c r="C192" s="3">
        <v>2.5299999999999998</v>
      </c>
      <c r="D192" s="2">
        <v>6.2868000000000004</v>
      </c>
      <c r="E192" s="2">
        <f>TabelaMucambo[[#This Row],[Qtde]]*TabelaMucambo[[#This Row],[Vl. Unitário]]</f>
        <v>15.905604</v>
      </c>
      <c r="F192" s="7" t="str">
        <f>VLOOKUP(TabelaMucambo[[#This Row],[Código+Produto]],Base!A:C,3,0)</f>
        <v>brocolis mp</v>
      </c>
      <c r="G192" s="8" t="str">
        <f>VLOOKUP(A192,Base!A:D,4,0)</f>
        <v>HORTIFRUTI</v>
      </c>
    </row>
    <row r="193" spans="1:7" x14ac:dyDescent="0.25">
      <c r="A193" s="1" t="s">
        <v>48</v>
      </c>
      <c r="B193" s="1" t="s">
        <v>1</v>
      </c>
      <c r="C193" s="3">
        <v>1.45</v>
      </c>
      <c r="D193" s="2">
        <v>6.2868000000000004</v>
      </c>
      <c r="E193" s="2">
        <f>TabelaMucambo[[#This Row],[Qtde]]*TabelaMucambo[[#This Row],[Vl. Unitário]]</f>
        <v>9.1158599999999996</v>
      </c>
      <c r="F193" s="7" t="str">
        <f>VLOOKUP(TabelaMucambo[[#This Row],[Código+Produto]],Base!A:C,3,0)</f>
        <v>brocolis mp</v>
      </c>
      <c r="G193" s="8" t="str">
        <f>VLOOKUP(A193,Base!A:D,4,0)</f>
        <v>HORTIFRUTI</v>
      </c>
    </row>
    <row r="194" spans="1:7" x14ac:dyDescent="0.25">
      <c r="A194" s="1" t="s">
        <v>48</v>
      </c>
      <c r="B194" s="1" t="s">
        <v>1</v>
      </c>
      <c r="C194" s="3">
        <v>2.5</v>
      </c>
      <c r="D194" s="2">
        <v>6.2868000000000004</v>
      </c>
      <c r="E194" s="2">
        <f>TabelaMucambo[[#This Row],[Qtde]]*TabelaMucambo[[#This Row],[Vl. Unitário]]</f>
        <v>15.717000000000001</v>
      </c>
      <c r="F194" s="7" t="str">
        <f>VLOOKUP(TabelaMucambo[[#This Row],[Código+Produto]],Base!A:C,3,0)</f>
        <v>brocolis mp</v>
      </c>
      <c r="G194" s="8" t="str">
        <f>VLOOKUP(A194,Base!A:D,4,0)</f>
        <v>HORTIFRUTI</v>
      </c>
    </row>
    <row r="195" spans="1:7" x14ac:dyDescent="0.25">
      <c r="A195" s="1" t="s">
        <v>48</v>
      </c>
      <c r="B195" s="1" t="s">
        <v>1</v>
      </c>
      <c r="C195" s="3">
        <v>2.4500000000000002</v>
      </c>
      <c r="D195" s="2">
        <v>6.2868000000000004</v>
      </c>
      <c r="E195" s="2">
        <f>TabelaMucambo[[#This Row],[Qtde]]*TabelaMucambo[[#This Row],[Vl. Unitário]]</f>
        <v>15.402660000000003</v>
      </c>
      <c r="F195" s="7" t="str">
        <f>VLOOKUP(TabelaMucambo[[#This Row],[Código+Produto]],Base!A:C,3,0)</f>
        <v>brocolis mp</v>
      </c>
      <c r="G195" s="8" t="str">
        <f>VLOOKUP(A195,Base!A:D,4,0)</f>
        <v>HORTIFRUTI</v>
      </c>
    </row>
    <row r="196" spans="1:7" x14ac:dyDescent="0.25">
      <c r="A196" s="1" t="s">
        <v>48</v>
      </c>
      <c r="B196" s="1" t="s">
        <v>1</v>
      </c>
      <c r="C196" s="3">
        <v>2.15</v>
      </c>
      <c r="D196" s="2">
        <v>6.2868000000000004</v>
      </c>
      <c r="E196" s="2">
        <f>TabelaMucambo[[#This Row],[Qtde]]*TabelaMucambo[[#This Row],[Vl. Unitário]]</f>
        <v>13.51662</v>
      </c>
      <c r="F196" s="40" t="str">
        <f>VLOOKUP(TabelaMucambo[[#This Row],[Código+Produto]],Base!A:C,3,0)</f>
        <v>brocolis mp</v>
      </c>
      <c r="G196" s="8" t="str">
        <f>VLOOKUP(A196,Base!A:D,4,0)</f>
        <v>HORTIFRUTI</v>
      </c>
    </row>
    <row r="197" spans="1:7" x14ac:dyDescent="0.25">
      <c r="A197" s="1" t="s">
        <v>32</v>
      </c>
      <c r="B197" s="1" t="s">
        <v>1</v>
      </c>
      <c r="C197" s="3">
        <v>12.2</v>
      </c>
      <c r="D197" s="2">
        <v>1.7</v>
      </c>
      <c r="E197" s="2">
        <f>TabelaMucambo[[#This Row],[Qtde]]*TabelaMucambo[[#This Row],[Vl. Unitário]]</f>
        <v>20.74</v>
      </c>
      <c r="F197" s="7" t="str">
        <f>VLOOKUP(TabelaMucambo[[#This Row],[Código+Produto]],Base!A:C,3,0)</f>
        <v>cebola branca mp</v>
      </c>
      <c r="G197" s="8" t="str">
        <f>VLOOKUP(A197,Base!A:D,4,0)</f>
        <v>HORTIFRUTI</v>
      </c>
    </row>
    <row r="198" spans="1:7" x14ac:dyDescent="0.25">
      <c r="A198" s="1" t="s">
        <v>32</v>
      </c>
      <c r="B198" s="1" t="s">
        <v>1</v>
      </c>
      <c r="C198" s="3">
        <v>20</v>
      </c>
      <c r="D198" s="2">
        <v>1.7</v>
      </c>
      <c r="E198" s="2">
        <f>TabelaMucambo[[#This Row],[Qtde]]*TabelaMucambo[[#This Row],[Vl. Unitário]]</f>
        <v>34</v>
      </c>
      <c r="F198" s="7" t="str">
        <f>VLOOKUP(TabelaMucambo[[#This Row],[Código+Produto]],Base!A:C,3,0)</f>
        <v>cebola branca mp</v>
      </c>
      <c r="G198" s="8" t="str">
        <f>VLOOKUP(A198,Base!A:D,4,0)</f>
        <v>HORTIFRUTI</v>
      </c>
    </row>
    <row r="199" spans="1:7" x14ac:dyDescent="0.25">
      <c r="A199" s="1" t="s">
        <v>32</v>
      </c>
      <c r="B199" s="1" t="s">
        <v>1</v>
      </c>
      <c r="C199" s="3">
        <v>20</v>
      </c>
      <c r="D199" s="2">
        <v>1.7</v>
      </c>
      <c r="E199" s="2">
        <f>TabelaMucambo[[#This Row],[Qtde]]*TabelaMucambo[[#This Row],[Vl. Unitário]]</f>
        <v>34</v>
      </c>
      <c r="F199" s="7" t="str">
        <f>VLOOKUP(TabelaMucambo[[#This Row],[Código+Produto]],Base!A:C,3,0)</f>
        <v>cebola branca mp</v>
      </c>
      <c r="G199" s="8" t="str">
        <f>VLOOKUP(A199,Base!A:D,4,0)</f>
        <v>HORTIFRUTI</v>
      </c>
    </row>
    <row r="200" spans="1:7" x14ac:dyDescent="0.25">
      <c r="A200" s="1" t="s">
        <v>32</v>
      </c>
      <c r="B200" s="1" t="s">
        <v>1</v>
      </c>
      <c r="C200" s="3">
        <v>19.3</v>
      </c>
      <c r="D200" s="2">
        <v>1.7</v>
      </c>
      <c r="E200" s="2">
        <f>TabelaMucambo[[#This Row],[Qtde]]*TabelaMucambo[[#This Row],[Vl. Unitário]]</f>
        <v>32.81</v>
      </c>
      <c r="F200" s="7" t="str">
        <f>VLOOKUP(TabelaMucambo[[#This Row],[Código+Produto]],Base!A:C,3,0)</f>
        <v>cebola branca mp</v>
      </c>
      <c r="G200" s="8" t="str">
        <f>VLOOKUP(A200,Base!A:D,4,0)</f>
        <v>HORTIFRUTI</v>
      </c>
    </row>
    <row r="201" spans="1:7" x14ac:dyDescent="0.25">
      <c r="A201" s="1" t="s">
        <v>32</v>
      </c>
      <c r="B201" s="1" t="s">
        <v>1</v>
      </c>
      <c r="C201" s="3">
        <v>20</v>
      </c>
      <c r="D201" s="2">
        <v>1.7</v>
      </c>
      <c r="E201" s="2">
        <f>TabelaMucambo[[#This Row],[Qtde]]*TabelaMucambo[[#This Row],[Vl. Unitário]]</f>
        <v>34</v>
      </c>
      <c r="F201" s="7" t="str">
        <f>VLOOKUP(TabelaMucambo[[#This Row],[Código+Produto]],Base!A:C,3,0)</f>
        <v>cebola branca mp</v>
      </c>
      <c r="G201" s="8" t="str">
        <f>VLOOKUP(A201,Base!A:D,4,0)</f>
        <v>HORTIFRUTI</v>
      </c>
    </row>
    <row r="202" spans="1:7" x14ac:dyDescent="0.25">
      <c r="A202" s="1" t="s">
        <v>32</v>
      </c>
      <c r="B202" s="1" t="s">
        <v>1</v>
      </c>
      <c r="C202" s="3">
        <v>19</v>
      </c>
      <c r="D202" s="2">
        <v>1.7</v>
      </c>
      <c r="E202" s="2">
        <f>TabelaMucambo[[#This Row],[Qtde]]*TabelaMucambo[[#This Row],[Vl. Unitário]]</f>
        <v>32.299999999999997</v>
      </c>
      <c r="F202" s="7" t="str">
        <f>VLOOKUP(TabelaMucambo[[#This Row],[Código+Produto]],Base!A:C,3,0)</f>
        <v>cebola branca mp</v>
      </c>
      <c r="G202" s="8" t="str">
        <f>VLOOKUP(A202,Base!A:D,4,0)</f>
        <v>HORTIFRUTI</v>
      </c>
    </row>
    <row r="203" spans="1:7" x14ac:dyDescent="0.25">
      <c r="A203" s="1" t="s">
        <v>4</v>
      </c>
      <c r="B203" s="1" t="s">
        <v>1</v>
      </c>
      <c r="C203" s="3">
        <v>8.5</v>
      </c>
      <c r="D203" s="2">
        <v>2.5</v>
      </c>
      <c r="E203" s="2">
        <f>TabelaMucambo[[#This Row],[Qtde]]*TabelaMucambo[[#This Row],[Vl. Unitário]]</f>
        <v>21.25</v>
      </c>
      <c r="F203" s="7" t="str">
        <f>VLOOKUP(TabelaMucambo[[#This Row],[Código+Produto]],Base!A:C,3,0)</f>
        <v>cenoura mp</v>
      </c>
      <c r="G203" s="8" t="str">
        <f>VLOOKUP(A203,Base!A:D,4,0)</f>
        <v>HORTIFRUTI</v>
      </c>
    </row>
    <row r="204" spans="1:7" x14ac:dyDescent="0.25">
      <c r="A204" s="1" t="s">
        <v>4</v>
      </c>
      <c r="B204" s="1" t="s">
        <v>1</v>
      </c>
      <c r="C204" s="3">
        <v>10</v>
      </c>
      <c r="D204" s="2">
        <v>3</v>
      </c>
      <c r="E204" s="2">
        <f>TabelaMucambo[[#This Row],[Qtde]]*TabelaMucambo[[#This Row],[Vl. Unitário]]</f>
        <v>30</v>
      </c>
      <c r="F204" s="7" t="str">
        <f>VLOOKUP(TabelaMucambo[[#This Row],[Código+Produto]],Base!A:C,3,0)</f>
        <v>cenoura mp</v>
      </c>
      <c r="G204" s="8" t="str">
        <f>VLOOKUP(A204,Base!A:D,4,0)</f>
        <v>HORTIFRUTI</v>
      </c>
    </row>
    <row r="205" spans="1:7" x14ac:dyDescent="0.25">
      <c r="A205" s="1" t="s">
        <v>4</v>
      </c>
      <c r="B205" s="1" t="s">
        <v>1</v>
      </c>
      <c r="C205" s="3">
        <v>8.1999999999999993</v>
      </c>
      <c r="D205" s="2">
        <v>2.5</v>
      </c>
      <c r="E205" s="2">
        <f>TabelaMucambo[[#This Row],[Qtde]]*TabelaMucambo[[#This Row],[Vl. Unitário]]</f>
        <v>20.5</v>
      </c>
      <c r="F205" s="7" t="str">
        <f>VLOOKUP(TabelaMucambo[[#This Row],[Código+Produto]],Base!A:C,3,0)</f>
        <v>cenoura mp</v>
      </c>
      <c r="G205" s="8" t="str">
        <f>VLOOKUP(A205,Base!A:D,4,0)</f>
        <v>HORTIFRUTI</v>
      </c>
    </row>
    <row r="206" spans="1:7" x14ac:dyDescent="0.25">
      <c r="A206" s="1" t="s">
        <v>4</v>
      </c>
      <c r="B206" s="1" t="s">
        <v>1</v>
      </c>
      <c r="C206" s="3">
        <v>3.5</v>
      </c>
      <c r="D206" s="2">
        <v>3</v>
      </c>
      <c r="E206" s="2">
        <f>TabelaMucambo[[#This Row],[Qtde]]*TabelaMucambo[[#This Row],[Vl. Unitário]]</f>
        <v>10.5</v>
      </c>
      <c r="F206" s="7" t="str">
        <f>VLOOKUP(TabelaMucambo[[#This Row],[Código+Produto]],Base!A:C,3,0)</f>
        <v>cenoura mp</v>
      </c>
      <c r="G206" s="8" t="str">
        <f>VLOOKUP(A206,Base!A:D,4,0)</f>
        <v>HORTIFRUTI</v>
      </c>
    </row>
    <row r="207" spans="1:7" x14ac:dyDescent="0.25">
      <c r="A207" s="1" t="s">
        <v>4</v>
      </c>
      <c r="B207" s="1" t="s">
        <v>1</v>
      </c>
      <c r="C207" s="3">
        <v>8.85</v>
      </c>
      <c r="D207" s="2">
        <v>3</v>
      </c>
      <c r="E207" s="2">
        <f>TabelaMucambo[[#This Row],[Qtde]]*TabelaMucambo[[#This Row],[Vl. Unitário]]</f>
        <v>26.549999999999997</v>
      </c>
      <c r="F207" s="7" t="str">
        <f>VLOOKUP(TabelaMucambo[[#This Row],[Código+Produto]],Base!A:C,3,0)</f>
        <v>cenoura mp</v>
      </c>
      <c r="G207" s="8" t="str">
        <f>VLOOKUP(A207,Base!A:D,4,0)</f>
        <v>HORTIFRUTI</v>
      </c>
    </row>
    <row r="208" spans="1:7" x14ac:dyDescent="0.25">
      <c r="A208" s="1" t="s">
        <v>4</v>
      </c>
      <c r="B208" s="1" t="s">
        <v>1</v>
      </c>
      <c r="C208" s="3">
        <v>6.8</v>
      </c>
      <c r="D208" s="2">
        <v>2.5</v>
      </c>
      <c r="E208" s="2">
        <f>TabelaMucambo[[#This Row],[Qtde]]*TabelaMucambo[[#This Row],[Vl. Unitário]]</f>
        <v>17</v>
      </c>
      <c r="F208" s="7" t="str">
        <f>VLOOKUP(TabelaMucambo[[#This Row],[Código+Produto]],Base!A:C,3,0)</f>
        <v>cenoura mp</v>
      </c>
      <c r="G208" s="8" t="str">
        <f>VLOOKUP(A208,Base!A:D,4,0)</f>
        <v>HORTIFRUTI</v>
      </c>
    </row>
    <row r="209" spans="1:7" x14ac:dyDescent="0.25">
      <c r="A209" s="1" t="s">
        <v>4</v>
      </c>
      <c r="B209" s="1" t="s">
        <v>1</v>
      </c>
      <c r="C209" s="3">
        <v>6.9</v>
      </c>
      <c r="D209" s="2">
        <v>2.5</v>
      </c>
      <c r="E209" s="2">
        <f>TabelaMucambo[[#This Row],[Qtde]]*TabelaMucambo[[#This Row],[Vl. Unitário]]</f>
        <v>17.25</v>
      </c>
      <c r="F209" s="7" t="str">
        <f>VLOOKUP(TabelaMucambo[[#This Row],[Código+Produto]],Base!A:C,3,0)</f>
        <v>cenoura mp</v>
      </c>
      <c r="G209" s="8" t="str">
        <f>VLOOKUP(A209,Base!A:D,4,0)</f>
        <v>HORTIFRUTI</v>
      </c>
    </row>
    <row r="210" spans="1:7" x14ac:dyDescent="0.25">
      <c r="A210" s="1" t="s">
        <v>4</v>
      </c>
      <c r="B210" s="1" t="s">
        <v>1</v>
      </c>
      <c r="C210" s="3">
        <v>7.15</v>
      </c>
      <c r="D210" s="2">
        <v>2.5</v>
      </c>
      <c r="E210" s="2">
        <f>TabelaMucambo[[#This Row],[Qtde]]*TabelaMucambo[[#This Row],[Vl. Unitário]]</f>
        <v>17.875</v>
      </c>
      <c r="F210" s="7" t="str">
        <f>VLOOKUP(TabelaMucambo[[#This Row],[Código+Produto]],Base!A:C,3,0)</f>
        <v>cenoura mp</v>
      </c>
      <c r="G210" s="8" t="str">
        <f>VLOOKUP(A210,Base!A:D,4,0)</f>
        <v>HORTIFRUTI</v>
      </c>
    </row>
    <row r="211" spans="1:7" x14ac:dyDescent="0.25">
      <c r="A211" s="1" t="s">
        <v>4</v>
      </c>
      <c r="B211" s="1" t="s">
        <v>1</v>
      </c>
      <c r="C211" s="3">
        <v>8.6</v>
      </c>
      <c r="D211" s="2">
        <v>2.5</v>
      </c>
      <c r="E211" s="2">
        <f>TabelaMucambo[[#This Row],[Qtde]]*TabelaMucambo[[#This Row],[Vl. Unitário]]</f>
        <v>21.5</v>
      </c>
      <c r="F211" s="7" t="str">
        <f>VLOOKUP(TabelaMucambo[[#This Row],[Código+Produto]],Base!A:C,3,0)</f>
        <v>cenoura mp</v>
      </c>
      <c r="G211" s="8" t="str">
        <f>VLOOKUP(A211,Base!A:D,4,0)</f>
        <v>HORTIFRUTI</v>
      </c>
    </row>
    <row r="212" spans="1:7" x14ac:dyDescent="0.25">
      <c r="A212" s="1" t="s">
        <v>4</v>
      </c>
      <c r="B212" s="1" t="s">
        <v>1</v>
      </c>
      <c r="C212" s="3">
        <v>4.45</v>
      </c>
      <c r="D212" s="2">
        <v>2.5</v>
      </c>
      <c r="E212" s="2">
        <f>TabelaMucambo[[#This Row],[Qtde]]*TabelaMucambo[[#This Row],[Vl. Unitário]]</f>
        <v>11.125</v>
      </c>
      <c r="F212" s="7" t="str">
        <f>VLOOKUP(TabelaMucambo[[#This Row],[Código+Produto]],Base!A:C,3,0)</f>
        <v>cenoura mp</v>
      </c>
      <c r="G212" s="8" t="str">
        <f>VLOOKUP(A212,Base!A:D,4,0)</f>
        <v>HORTIFRUTI</v>
      </c>
    </row>
    <row r="213" spans="1:7" x14ac:dyDescent="0.25">
      <c r="A213" s="1" t="s">
        <v>4</v>
      </c>
      <c r="B213" s="1" t="s">
        <v>1</v>
      </c>
      <c r="C213" s="3">
        <v>7.2</v>
      </c>
      <c r="D213" s="2">
        <v>3</v>
      </c>
      <c r="E213" s="2">
        <f>TabelaMucambo[[#This Row],[Qtde]]*TabelaMucambo[[#This Row],[Vl. Unitário]]</f>
        <v>21.6</v>
      </c>
      <c r="F213" s="7" t="str">
        <f>VLOOKUP(TabelaMucambo[[#This Row],[Código+Produto]],Base!A:C,3,0)</f>
        <v>cenoura mp</v>
      </c>
      <c r="G213" s="8" t="str">
        <f>VLOOKUP(A213,Base!A:D,4,0)</f>
        <v>HORTIFRUTI</v>
      </c>
    </row>
    <row r="214" spans="1:7" x14ac:dyDescent="0.25">
      <c r="A214" s="1" t="s">
        <v>4</v>
      </c>
      <c r="B214" s="1" t="s">
        <v>1</v>
      </c>
      <c r="C214" s="3">
        <v>6</v>
      </c>
      <c r="D214" s="2">
        <v>4</v>
      </c>
      <c r="E214" s="2">
        <f>TabelaMucambo[[#This Row],[Qtde]]*TabelaMucambo[[#This Row],[Vl. Unitário]]</f>
        <v>24</v>
      </c>
      <c r="F214" s="7" t="str">
        <f>VLOOKUP(TabelaMucambo[[#This Row],[Código+Produto]],Base!A:C,3,0)</f>
        <v>cenoura mp</v>
      </c>
      <c r="G214" s="8" t="str">
        <f>VLOOKUP(A214,Base!A:D,4,0)</f>
        <v>HORTIFRUTI</v>
      </c>
    </row>
    <row r="215" spans="1:7" x14ac:dyDescent="0.25">
      <c r="A215" s="1" t="s">
        <v>4</v>
      </c>
      <c r="B215" s="1" t="s">
        <v>1</v>
      </c>
      <c r="C215" s="3">
        <v>2.6</v>
      </c>
      <c r="D215" s="2">
        <v>3</v>
      </c>
      <c r="E215" s="2">
        <f>TabelaMucambo[[#This Row],[Qtde]]*TabelaMucambo[[#This Row],[Vl. Unitário]]</f>
        <v>7.8000000000000007</v>
      </c>
      <c r="F215" s="7" t="str">
        <f>VLOOKUP(TabelaMucambo[[#This Row],[Código+Produto]],Base!A:C,3,0)</f>
        <v>cenoura mp</v>
      </c>
      <c r="G215" s="8" t="str">
        <f>VLOOKUP(A215,Base!A:D,4,0)</f>
        <v>HORTIFRUTI</v>
      </c>
    </row>
    <row r="216" spans="1:7" x14ac:dyDescent="0.25">
      <c r="A216" s="1" t="s">
        <v>4</v>
      </c>
      <c r="B216" s="1" t="s">
        <v>1</v>
      </c>
      <c r="C216" s="3">
        <v>15.6</v>
      </c>
      <c r="D216" s="2">
        <v>2.5</v>
      </c>
      <c r="E216" s="2">
        <f>TabelaMucambo[[#This Row],[Qtde]]*TabelaMucambo[[#This Row],[Vl. Unitário]]</f>
        <v>39</v>
      </c>
      <c r="F216" s="7" t="str">
        <f>VLOOKUP(TabelaMucambo[[#This Row],[Código+Produto]],Base!A:C,3,0)</f>
        <v>cenoura mp</v>
      </c>
      <c r="G216" s="8" t="str">
        <f>VLOOKUP(A216,Base!A:D,4,0)</f>
        <v>HORTIFRUTI</v>
      </c>
    </row>
    <row r="217" spans="1:7" x14ac:dyDescent="0.25">
      <c r="A217" s="1" t="s">
        <v>4</v>
      </c>
      <c r="B217" s="1" t="s">
        <v>1</v>
      </c>
      <c r="C217" s="3">
        <v>9.65</v>
      </c>
      <c r="D217" s="2">
        <v>2.5</v>
      </c>
      <c r="E217" s="2">
        <f>TabelaMucambo[[#This Row],[Qtde]]*TabelaMucambo[[#This Row],[Vl. Unitário]]</f>
        <v>24.125</v>
      </c>
      <c r="F217" s="7" t="str">
        <f>VLOOKUP(TabelaMucambo[[#This Row],[Código+Produto]],Base!A:C,3,0)</f>
        <v>cenoura mp</v>
      </c>
      <c r="G217" s="8" t="str">
        <f>VLOOKUP(A217,Base!A:D,4,0)</f>
        <v>HORTIFRUTI</v>
      </c>
    </row>
    <row r="218" spans="1:7" x14ac:dyDescent="0.25">
      <c r="A218" s="1" t="s">
        <v>4</v>
      </c>
      <c r="B218" s="1" t="s">
        <v>1</v>
      </c>
      <c r="C218" s="3">
        <v>3.89</v>
      </c>
      <c r="D218" s="2">
        <v>2.5</v>
      </c>
      <c r="E218" s="2">
        <f>TabelaMucambo[[#This Row],[Qtde]]*TabelaMucambo[[#This Row],[Vl. Unitário]]</f>
        <v>9.7249999999999996</v>
      </c>
      <c r="F218" s="40" t="str">
        <f>VLOOKUP(TabelaMucambo[[#This Row],[Código+Produto]],Base!A:C,3,0)</f>
        <v>cenoura mp</v>
      </c>
      <c r="G218" s="8" t="str">
        <f>VLOOKUP(A218,Base!A:D,4,0)</f>
        <v>HORTIFRUTI</v>
      </c>
    </row>
    <row r="219" spans="1:7" x14ac:dyDescent="0.25">
      <c r="A219" s="1" t="s">
        <v>5</v>
      </c>
      <c r="B219" s="1" t="s">
        <v>6</v>
      </c>
      <c r="C219" s="3">
        <v>11.5</v>
      </c>
      <c r="D219" s="2">
        <v>3.5</v>
      </c>
      <c r="E219" s="2">
        <f>TabelaMucambo[[#This Row],[Qtde]]*TabelaMucambo[[#This Row],[Vl. Unitário]]</f>
        <v>40.25</v>
      </c>
      <c r="F219" s="7" t="str">
        <f>VLOOKUP(TabelaMucambo[[#This Row],[Código+Produto]],Base!A:C,3,0)</f>
        <v>leite mp</v>
      </c>
      <c r="G219" s="8" t="str">
        <f>VLOOKUP(A219,Base!A:D,4,0)</f>
        <v>LATICINIOS</v>
      </c>
    </row>
    <row r="220" spans="1:7" x14ac:dyDescent="0.25">
      <c r="A220" s="1" t="s">
        <v>5</v>
      </c>
      <c r="B220" s="1" t="s">
        <v>6</v>
      </c>
      <c r="C220" s="3">
        <v>16</v>
      </c>
      <c r="D220" s="2">
        <v>3.5</v>
      </c>
      <c r="E220" s="2">
        <f>TabelaMucambo[[#This Row],[Qtde]]*TabelaMucambo[[#This Row],[Vl. Unitário]]</f>
        <v>56</v>
      </c>
      <c r="F220" s="7" t="str">
        <f>VLOOKUP(TabelaMucambo[[#This Row],[Código+Produto]],Base!A:C,3,0)</f>
        <v>leite mp</v>
      </c>
      <c r="G220" s="8" t="str">
        <f>VLOOKUP(A220,Base!A:D,4,0)</f>
        <v>LATICINIOS</v>
      </c>
    </row>
    <row r="221" spans="1:7" x14ac:dyDescent="0.25">
      <c r="A221" s="1" t="s">
        <v>5</v>
      </c>
      <c r="B221" s="1" t="s">
        <v>6</v>
      </c>
      <c r="C221" s="3">
        <v>12</v>
      </c>
      <c r="D221" s="2">
        <v>3.5</v>
      </c>
      <c r="E221" s="2">
        <f>TabelaMucambo[[#This Row],[Qtde]]*TabelaMucambo[[#This Row],[Vl. Unitário]]</f>
        <v>42</v>
      </c>
      <c r="F221" s="7" t="str">
        <f>VLOOKUP(TabelaMucambo[[#This Row],[Código+Produto]],Base!A:C,3,0)</f>
        <v>leite mp</v>
      </c>
      <c r="G221" s="8" t="str">
        <f>VLOOKUP(A221,Base!A:D,4,0)</f>
        <v>LATICINIOS</v>
      </c>
    </row>
    <row r="222" spans="1:7" x14ac:dyDescent="0.25">
      <c r="A222" s="1" t="s">
        <v>5</v>
      </c>
      <c r="B222" s="1" t="s">
        <v>6</v>
      </c>
      <c r="C222" s="3">
        <v>10</v>
      </c>
      <c r="D222" s="2">
        <v>3.5</v>
      </c>
      <c r="E222" s="2">
        <f>TabelaMucambo[[#This Row],[Qtde]]*TabelaMucambo[[#This Row],[Vl. Unitário]]</f>
        <v>35</v>
      </c>
      <c r="F222" s="7" t="str">
        <f>VLOOKUP(TabelaMucambo[[#This Row],[Código+Produto]],Base!A:C,3,0)</f>
        <v>leite mp</v>
      </c>
      <c r="G222" s="8" t="str">
        <f>VLOOKUP(A222,Base!A:D,4,0)</f>
        <v>LATICINIOS</v>
      </c>
    </row>
    <row r="223" spans="1:7" x14ac:dyDescent="0.25">
      <c r="A223" s="1" t="s">
        <v>5</v>
      </c>
      <c r="B223" s="1" t="s">
        <v>6</v>
      </c>
      <c r="C223" s="3">
        <v>6</v>
      </c>
      <c r="D223" s="2">
        <v>3.5</v>
      </c>
      <c r="E223" s="2">
        <f>TabelaMucambo[[#This Row],[Qtde]]*TabelaMucambo[[#This Row],[Vl. Unitário]]</f>
        <v>21</v>
      </c>
      <c r="F223" s="7" t="str">
        <f>VLOOKUP(TabelaMucambo[[#This Row],[Código+Produto]],Base!A:C,3,0)</f>
        <v>leite mp</v>
      </c>
      <c r="G223" s="8" t="str">
        <f>VLOOKUP(A223,Base!A:D,4,0)</f>
        <v>LATICINIOS</v>
      </c>
    </row>
    <row r="224" spans="1:7" x14ac:dyDescent="0.25">
      <c r="A224" s="1" t="s">
        <v>5</v>
      </c>
      <c r="B224" s="1" t="s">
        <v>6</v>
      </c>
      <c r="C224" s="3">
        <v>12</v>
      </c>
      <c r="D224" s="2">
        <v>3.5</v>
      </c>
      <c r="E224" s="2">
        <f>TabelaMucambo[[#This Row],[Qtde]]*TabelaMucambo[[#This Row],[Vl. Unitário]]</f>
        <v>42</v>
      </c>
      <c r="F224" s="7" t="str">
        <f>VLOOKUP(TabelaMucambo[[#This Row],[Código+Produto]],Base!A:C,3,0)</f>
        <v>leite mp</v>
      </c>
      <c r="G224" s="8" t="str">
        <f>VLOOKUP(A224,Base!A:D,4,0)</f>
        <v>LATICINIOS</v>
      </c>
    </row>
    <row r="225" spans="1:7" x14ac:dyDescent="0.25">
      <c r="A225" s="1" t="s">
        <v>5</v>
      </c>
      <c r="B225" s="1" t="s">
        <v>6</v>
      </c>
      <c r="C225" s="3">
        <v>7</v>
      </c>
      <c r="D225" s="2">
        <v>3.5</v>
      </c>
      <c r="E225" s="2">
        <f>TabelaMucambo[[#This Row],[Qtde]]*TabelaMucambo[[#This Row],[Vl. Unitário]]</f>
        <v>24.5</v>
      </c>
      <c r="F225" s="7" t="str">
        <f>VLOOKUP(TabelaMucambo[[#This Row],[Código+Produto]],Base!A:C,3,0)</f>
        <v>leite mp</v>
      </c>
      <c r="G225" s="8" t="str">
        <f>VLOOKUP(A225,Base!A:D,4,0)</f>
        <v>LATICINIOS</v>
      </c>
    </row>
    <row r="226" spans="1:7" x14ac:dyDescent="0.25">
      <c r="A226" s="1" t="s">
        <v>5</v>
      </c>
      <c r="B226" s="1" t="s">
        <v>6</v>
      </c>
      <c r="C226" s="3">
        <v>8</v>
      </c>
      <c r="D226" s="2">
        <v>3.5</v>
      </c>
      <c r="E226" s="2">
        <f>TabelaMucambo[[#This Row],[Qtde]]*TabelaMucambo[[#This Row],[Vl. Unitário]]</f>
        <v>28</v>
      </c>
      <c r="F226" s="7" t="str">
        <f>VLOOKUP(TabelaMucambo[[#This Row],[Código+Produto]],Base!A:C,3,0)</f>
        <v>leite mp</v>
      </c>
      <c r="G226" s="8" t="str">
        <f>VLOOKUP(A226,Base!A:D,4,0)</f>
        <v>LATICINIOS</v>
      </c>
    </row>
    <row r="227" spans="1:7" x14ac:dyDescent="0.25">
      <c r="A227" s="1" t="s">
        <v>5</v>
      </c>
      <c r="B227" s="1" t="s">
        <v>6</v>
      </c>
      <c r="C227" s="3">
        <v>12</v>
      </c>
      <c r="D227" s="2">
        <v>3.5</v>
      </c>
      <c r="E227" s="2">
        <f>TabelaMucambo[[#This Row],[Qtde]]*TabelaMucambo[[#This Row],[Vl. Unitário]]</f>
        <v>42</v>
      </c>
      <c r="F227" s="7" t="str">
        <f>VLOOKUP(TabelaMucambo[[#This Row],[Código+Produto]],Base!A:C,3,0)</f>
        <v>leite mp</v>
      </c>
      <c r="G227" s="8" t="str">
        <f>VLOOKUP(A227,Base!A:D,4,0)</f>
        <v>LATICINIOS</v>
      </c>
    </row>
    <row r="228" spans="1:7" x14ac:dyDescent="0.25">
      <c r="A228" s="1" t="s">
        <v>5</v>
      </c>
      <c r="B228" s="1" t="s">
        <v>6</v>
      </c>
      <c r="C228" s="3">
        <v>12</v>
      </c>
      <c r="D228" s="2">
        <v>3.5</v>
      </c>
      <c r="E228" s="2">
        <f>TabelaMucambo[[#This Row],[Qtde]]*TabelaMucambo[[#This Row],[Vl. Unitário]]</f>
        <v>42</v>
      </c>
      <c r="F228" s="7" t="str">
        <f>VLOOKUP(TabelaMucambo[[#This Row],[Código+Produto]],Base!A:C,3,0)</f>
        <v>leite mp</v>
      </c>
      <c r="G228" s="8" t="str">
        <f>VLOOKUP(A228,Base!A:D,4,0)</f>
        <v>LATICINIOS</v>
      </c>
    </row>
    <row r="229" spans="1:7" x14ac:dyDescent="0.25">
      <c r="A229" s="1" t="s">
        <v>5</v>
      </c>
      <c r="B229" s="1" t="s">
        <v>6</v>
      </c>
      <c r="C229" s="3">
        <v>12</v>
      </c>
      <c r="D229" s="2">
        <v>3.5</v>
      </c>
      <c r="E229" s="2">
        <f>TabelaMucambo[[#This Row],[Qtde]]*TabelaMucambo[[#This Row],[Vl. Unitário]]</f>
        <v>42</v>
      </c>
      <c r="F229" s="7" t="str">
        <f>VLOOKUP(TabelaMucambo[[#This Row],[Código+Produto]],Base!A:C,3,0)</f>
        <v>leite mp</v>
      </c>
      <c r="G229" s="8" t="str">
        <f>VLOOKUP(A229,Base!A:D,4,0)</f>
        <v>LATICINIOS</v>
      </c>
    </row>
    <row r="230" spans="1:7" x14ac:dyDescent="0.25">
      <c r="A230" s="1" t="s">
        <v>5</v>
      </c>
      <c r="B230" s="1" t="s">
        <v>6</v>
      </c>
      <c r="C230" s="3">
        <v>12</v>
      </c>
      <c r="D230" s="2">
        <v>3.5</v>
      </c>
      <c r="E230" s="2">
        <f>TabelaMucambo[[#This Row],[Qtde]]*TabelaMucambo[[#This Row],[Vl. Unitário]]</f>
        <v>42</v>
      </c>
      <c r="F230" s="7" t="str">
        <f>VLOOKUP(TabelaMucambo[[#This Row],[Código+Produto]],Base!A:C,3,0)</f>
        <v>leite mp</v>
      </c>
      <c r="G230" s="8" t="str">
        <f>VLOOKUP(A230,Base!A:D,4,0)</f>
        <v>LATICINIOS</v>
      </c>
    </row>
    <row r="231" spans="1:7" x14ac:dyDescent="0.25">
      <c r="A231" s="1" t="s">
        <v>5</v>
      </c>
      <c r="B231" s="1" t="s">
        <v>6</v>
      </c>
      <c r="C231" s="3">
        <v>8</v>
      </c>
      <c r="D231" s="2">
        <v>3.5</v>
      </c>
      <c r="E231" s="2">
        <f>TabelaMucambo[[#This Row],[Qtde]]*TabelaMucambo[[#This Row],[Vl. Unitário]]</f>
        <v>28</v>
      </c>
      <c r="F231" s="7" t="str">
        <f>VLOOKUP(TabelaMucambo[[#This Row],[Código+Produto]],Base!A:C,3,0)</f>
        <v>leite mp</v>
      </c>
      <c r="G231" s="8" t="str">
        <f>VLOOKUP(A231,Base!A:D,4,0)</f>
        <v>LATICINIOS</v>
      </c>
    </row>
    <row r="232" spans="1:7" x14ac:dyDescent="0.25">
      <c r="A232" s="1" t="s">
        <v>5</v>
      </c>
      <c r="B232" s="1" t="s">
        <v>6</v>
      </c>
      <c r="C232" s="3">
        <v>6</v>
      </c>
      <c r="D232" s="2">
        <v>3.5</v>
      </c>
      <c r="E232" s="2">
        <f>TabelaMucambo[[#This Row],[Qtde]]*TabelaMucambo[[#This Row],[Vl. Unitário]]</f>
        <v>21</v>
      </c>
      <c r="F232" s="7" t="str">
        <f>VLOOKUP(TabelaMucambo[[#This Row],[Código+Produto]],Base!A:C,3,0)</f>
        <v>leite mp</v>
      </c>
      <c r="G232" s="8" t="str">
        <f>VLOOKUP(A232,Base!A:D,4,0)</f>
        <v>LATICINIOS</v>
      </c>
    </row>
    <row r="233" spans="1:7" x14ac:dyDescent="0.25">
      <c r="A233" s="1" t="s">
        <v>5</v>
      </c>
      <c r="B233" s="1" t="s">
        <v>6</v>
      </c>
      <c r="C233" s="3">
        <v>10</v>
      </c>
      <c r="D233" s="2">
        <v>3.5</v>
      </c>
      <c r="E233" s="2">
        <f>TabelaMucambo[[#This Row],[Qtde]]*TabelaMucambo[[#This Row],[Vl. Unitário]]</f>
        <v>35</v>
      </c>
      <c r="F233" s="7" t="str">
        <f>VLOOKUP(TabelaMucambo[[#This Row],[Código+Produto]],Base!A:C,3,0)</f>
        <v>leite mp</v>
      </c>
      <c r="G233" s="8" t="str">
        <f>VLOOKUP(A233,Base!A:D,4,0)</f>
        <v>LATICINIOS</v>
      </c>
    </row>
    <row r="234" spans="1:7" x14ac:dyDescent="0.25">
      <c r="A234" s="1" t="s">
        <v>5</v>
      </c>
      <c r="B234" s="1" t="s">
        <v>6</v>
      </c>
      <c r="C234" s="3">
        <v>12</v>
      </c>
      <c r="D234" s="2">
        <v>3.5</v>
      </c>
      <c r="E234" s="2">
        <f>TabelaMucambo[[#This Row],[Qtde]]*TabelaMucambo[[#This Row],[Vl. Unitário]]</f>
        <v>42</v>
      </c>
      <c r="F234" s="7" t="str">
        <f>VLOOKUP(TabelaMucambo[[#This Row],[Código+Produto]],Base!A:C,3,0)</f>
        <v>leite mp</v>
      </c>
      <c r="G234" s="8" t="str">
        <f>VLOOKUP(A234,Base!A:D,4,0)</f>
        <v>LATICINIOS</v>
      </c>
    </row>
    <row r="235" spans="1:7" x14ac:dyDescent="0.25">
      <c r="A235" s="1" t="s">
        <v>5</v>
      </c>
      <c r="B235" s="1" t="s">
        <v>6</v>
      </c>
      <c r="C235" s="3">
        <v>12</v>
      </c>
      <c r="D235" s="2">
        <v>3.5</v>
      </c>
      <c r="E235" s="2">
        <f>TabelaMucambo[[#This Row],[Qtde]]*TabelaMucambo[[#This Row],[Vl. Unitário]]</f>
        <v>42</v>
      </c>
      <c r="F235" s="7" t="str">
        <f>VLOOKUP(TabelaMucambo[[#This Row],[Código+Produto]],Base!A:C,3,0)</f>
        <v>leite mp</v>
      </c>
      <c r="G235" s="8" t="str">
        <f>VLOOKUP(A235,Base!A:D,4,0)</f>
        <v>LATICINIOS</v>
      </c>
    </row>
    <row r="236" spans="1:7" x14ac:dyDescent="0.25">
      <c r="A236" s="1" t="s">
        <v>5</v>
      </c>
      <c r="B236" s="1" t="s">
        <v>6</v>
      </c>
      <c r="C236" s="3">
        <v>6</v>
      </c>
      <c r="D236" s="2">
        <v>3.5</v>
      </c>
      <c r="E236" s="2">
        <f>TabelaMucambo[[#This Row],[Qtde]]*TabelaMucambo[[#This Row],[Vl. Unitário]]</f>
        <v>21</v>
      </c>
      <c r="F236" s="7" t="str">
        <f>VLOOKUP(TabelaMucambo[[#This Row],[Código+Produto]],Base!A:C,3,0)</f>
        <v>leite mp</v>
      </c>
      <c r="G236" s="8" t="str">
        <f>VLOOKUP(A236,Base!A:D,4,0)</f>
        <v>LATICINIOS</v>
      </c>
    </row>
    <row r="237" spans="1:7" x14ac:dyDescent="0.25">
      <c r="A237" s="1" t="s">
        <v>5</v>
      </c>
      <c r="B237" s="1" t="s">
        <v>6</v>
      </c>
      <c r="C237" s="3">
        <v>6</v>
      </c>
      <c r="D237" s="2">
        <v>3.5</v>
      </c>
      <c r="E237" s="2">
        <f>TabelaMucambo[[#This Row],[Qtde]]*TabelaMucambo[[#This Row],[Vl. Unitário]]</f>
        <v>21</v>
      </c>
      <c r="F237" s="7" t="str">
        <f>VLOOKUP(TabelaMucambo[[#This Row],[Código+Produto]],Base!A:C,3,0)</f>
        <v>leite mp</v>
      </c>
      <c r="G237" s="8" t="str">
        <f>VLOOKUP(A237,Base!A:D,4,0)</f>
        <v>LATICINIOS</v>
      </c>
    </row>
    <row r="238" spans="1:7" x14ac:dyDescent="0.25">
      <c r="A238" s="1" t="s">
        <v>5</v>
      </c>
      <c r="B238" s="1" t="s">
        <v>6</v>
      </c>
      <c r="C238" s="3">
        <v>14</v>
      </c>
      <c r="D238" s="2">
        <v>3.5</v>
      </c>
      <c r="E238" s="2">
        <f>TabelaMucambo[[#This Row],[Qtde]]*TabelaMucambo[[#This Row],[Vl. Unitário]]</f>
        <v>49</v>
      </c>
      <c r="F238" s="7" t="str">
        <f>VLOOKUP(TabelaMucambo[[#This Row],[Código+Produto]],Base!A:C,3,0)</f>
        <v>leite mp</v>
      </c>
      <c r="G238" s="8" t="str">
        <f>VLOOKUP(A238,Base!A:D,4,0)</f>
        <v>LATICINIOS</v>
      </c>
    </row>
    <row r="239" spans="1:7" x14ac:dyDescent="0.25">
      <c r="A239" s="1" t="s">
        <v>5</v>
      </c>
      <c r="B239" s="1" t="s">
        <v>6</v>
      </c>
      <c r="C239" s="3">
        <v>14</v>
      </c>
      <c r="D239" s="2">
        <v>3.5</v>
      </c>
      <c r="E239" s="2">
        <f>TabelaMucambo[[#This Row],[Qtde]]*TabelaMucambo[[#This Row],[Vl. Unitário]]</f>
        <v>49</v>
      </c>
      <c r="F239" s="40" t="str">
        <f>VLOOKUP(TabelaMucambo[[#This Row],[Código+Produto]],Base!A:C,3,0)</f>
        <v>leite mp</v>
      </c>
      <c r="G239" s="8" t="str">
        <f>VLOOKUP(A239,Base!A:D,4,0)</f>
        <v>LATICINIOS</v>
      </c>
    </row>
    <row r="240" spans="1:7" x14ac:dyDescent="0.25">
      <c r="A240" s="1" t="s">
        <v>5</v>
      </c>
      <c r="B240" s="1" t="s">
        <v>6</v>
      </c>
      <c r="C240" s="3">
        <v>12</v>
      </c>
      <c r="D240" s="2">
        <v>3.5</v>
      </c>
      <c r="E240" s="2">
        <f>TabelaMucambo[[#This Row],[Qtde]]*TabelaMucambo[[#This Row],[Vl. Unitário]]</f>
        <v>42</v>
      </c>
      <c r="F240" s="40" t="str">
        <f>VLOOKUP(TabelaMucambo[[#This Row],[Código+Produto]],Base!A:C,3,0)</f>
        <v>leite mp</v>
      </c>
      <c r="G240" s="8" t="str">
        <f>VLOOKUP(A240,Base!A:D,4,0)</f>
        <v>LATICINIOS</v>
      </c>
    </row>
    <row r="241" spans="1:7" x14ac:dyDescent="0.25">
      <c r="A241" s="1" t="s">
        <v>5</v>
      </c>
      <c r="B241" s="1" t="s">
        <v>6</v>
      </c>
      <c r="C241" s="3">
        <v>12</v>
      </c>
      <c r="D241" s="2">
        <v>3.5</v>
      </c>
      <c r="E241" s="2">
        <f>TabelaMucambo[[#This Row],[Qtde]]*TabelaMucambo[[#This Row],[Vl. Unitário]]</f>
        <v>42</v>
      </c>
      <c r="F241" s="40" t="str">
        <f>VLOOKUP(TabelaMucambo[[#This Row],[Código+Produto]],Base!A:C,3,0)</f>
        <v>leite mp</v>
      </c>
      <c r="G241" s="8" t="str">
        <f>VLOOKUP(A241,Base!A:D,4,0)</f>
        <v>LATICINIOS</v>
      </c>
    </row>
    <row r="242" spans="1:7" x14ac:dyDescent="0.25">
      <c r="A242" s="1" t="s">
        <v>1244</v>
      </c>
      <c r="B242" s="1" t="s">
        <v>1245</v>
      </c>
      <c r="C242" s="3">
        <v>12</v>
      </c>
      <c r="D242" s="2">
        <v>6.44</v>
      </c>
      <c r="E242" s="2">
        <f>TabelaMucambo[[#This Row],[Qtde]]*TabelaMucambo[[#This Row],[Vl. Unitário]]</f>
        <v>77.28</v>
      </c>
      <c r="F242" s="7" t="str">
        <f>VLOOKUP(TabelaMucambo[[#This Row],[Código+Produto]],Base!A:C,3,0)</f>
        <v>leite condensado mp</v>
      </c>
      <c r="G242" s="8" t="str">
        <f>VLOOKUP(A242,Base!A:D,4,0)</f>
        <v>LATICINIOS</v>
      </c>
    </row>
    <row r="243" spans="1:7" x14ac:dyDescent="0.25">
      <c r="A243" s="1" t="s">
        <v>1205</v>
      </c>
      <c r="B243" s="1" t="s">
        <v>1</v>
      </c>
      <c r="C243" s="3">
        <v>14</v>
      </c>
      <c r="D243" s="2">
        <v>8.3699999999999992</v>
      </c>
      <c r="E243" s="2">
        <f>TabelaMucambo[[#This Row],[Qtde]]*TabelaMucambo[[#This Row],[Vl. Unitário]]</f>
        <v>117.17999999999999</v>
      </c>
      <c r="F243" s="7" t="str">
        <f>VLOOKUP(TabelaMucambo[[#This Row],[Código+Produto]],Base!A:C,3,0)</f>
        <v>margarina mp</v>
      </c>
      <c r="G243" s="8" t="str">
        <f>VLOOKUP(A243,Base!A:D,4,0)</f>
        <v>LATICINIOS</v>
      </c>
    </row>
    <row r="244" spans="1:7" x14ac:dyDescent="0.25">
      <c r="A244" s="1" t="s">
        <v>1205</v>
      </c>
      <c r="B244" s="1" t="s">
        <v>1</v>
      </c>
      <c r="C244" s="3">
        <v>14</v>
      </c>
      <c r="D244" s="2">
        <v>8.31</v>
      </c>
      <c r="E244" s="2">
        <f>TabelaMucambo[[#This Row],[Qtde]]*TabelaMucambo[[#This Row],[Vl. Unitário]]</f>
        <v>116.34</v>
      </c>
      <c r="F244" s="7" t="str">
        <f>VLOOKUP(TabelaMucambo[[#This Row],[Código+Produto]],Base!A:C,3,0)</f>
        <v>margarina mp</v>
      </c>
      <c r="G244" s="8" t="str">
        <f>VLOOKUP(A244,Base!A:D,4,0)</f>
        <v>LATICINIOS</v>
      </c>
    </row>
    <row r="245" spans="1:7" x14ac:dyDescent="0.25">
      <c r="A245" s="1" t="s">
        <v>1205</v>
      </c>
      <c r="B245" s="1" t="s">
        <v>1</v>
      </c>
      <c r="C245" s="3">
        <v>14</v>
      </c>
      <c r="D245" s="2">
        <v>8.31</v>
      </c>
      <c r="E245" s="2">
        <f>TabelaMucambo[[#This Row],[Qtde]]*TabelaMucambo[[#This Row],[Vl. Unitário]]</f>
        <v>116.34</v>
      </c>
      <c r="F245" s="7" t="str">
        <f>VLOOKUP(TabelaMucambo[[#This Row],[Código+Produto]],Base!A:C,3,0)</f>
        <v>margarina mp</v>
      </c>
      <c r="G245" s="8" t="str">
        <f>VLOOKUP(A245,Base!A:D,4,0)</f>
        <v>LATICINIOS</v>
      </c>
    </row>
    <row r="246" spans="1:7" x14ac:dyDescent="0.25">
      <c r="A246" s="1" t="s">
        <v>7</v>
      </c>
      <c r="B246" s="1" t="s">
        <v>1</v>
      </c>
      <c r="C246" s="3">
        <v>2.2999999999999998</v>
      </c>
      <c r="D246" s="2">
        <v>27.670200000000001</v>
      </c>
      <c r="E246" s="2">
        <f>TabelaMucambo[[#This Row],[Qtde]]*TabelaMucambo[[#This Row],[Vl. Unitário]]</f>
        <v>63.641459999999995</v>
      </c>
      <c r="F246" s="7" t="str">
        <f>VLOOKUP(TabelaMucambo[[#This Row],[Código+Produto]],Base!A:C,3,0)</f>
        <v>queijo coalho mp</v>
      </c>
      <c r="G246" s="8" t="str">
        <f>VLOOKUP(A246,Base!A:D,4,0)</f>
        <v>LATICINIOS</v>
      </c>
    </row>
    <row r="247" spans="1:7" x14ac:dyDescent="0.25">
      <c r="A247" s="1" t="s">
        <v>7</v>
      </c>
      <c r="B247" s="1" t="s">
        <v>1</v>
      </c>
      <c r="C247" s="3">
        <v>1.65</v>
      </c>
      <c r="D247" s="2">
        <v>27.670200000000001</v>
      </c>
      <c r="E247" s="2">
        <f>TabelaMucambo[[#This Row],[Qtde]]*TabelaMucambo[[#This Row],[Vl. Unitário]]</f>
        <v>45.655830000000002</v>
      </c>
      <c r="F247" s="7" t="str">
        <f>VLOOKUP(TabelaMucambo[[#This Row],[Código+Produto]],Base!A:C,3,0)</f>
        <v>queijo coalho mp</v>
      </c>
      <c r="G247" s="8" t="str">
        <f>VLOOKUP(A247,Base!A:D,4,0)</f>
        <v>LATICINIOS</v>
      </c>
    </row>
    <row r="248" spans="1:7" x14ac:dyDescent="0.25">
      <c r="A248" s="1" t="s">
        <v>7</v>
      </c>
      <c r="B248" s="1" t="s">
        <v>1</v>
      </c>
      <c r="C248" s="3">
        <v>1.85</v>
      </c>
      <c r="D248" s="2">
        <v>27.670200000000001</v>
      </c>
      <c r="E248" s="2">
        <f>TabelaMucambo[[#This Row],[Qtde]]*TabelaMucambo[[#This Row],[Vl. Unitário]]</f>
        <v>51.189870000000006</v>
      </c>
      <c r="F248" s="7" t="str">
        <f>VLOOKUP(TabelaMucambo[[#This Row],[Código+Produto]],Base!A:C,3,0)</f>
        <v>queijo coalho mp</v>
      </c>
      <c r="G248" s="8" t="str">
        <f>VLOOKUP(A248,Base!A:D,4,0)</f>
        <v>LATICINIOS</v>
      </c>
    </row>
    <row r="249" spans="1:7" x14ac:dyDescent="0.25">
      <c r="A249" s="1" t="s">
        <v>7</v>
      </c>
      <c r="B249" s="1" t="s">
        <v>1</v>
      </c>
      <c r="C249" s="3">
        <v>4.1500000000000004</v>
      </c>
      <c r="D249" s="2">
        <v>21.029199999999999</v>
      </c>
      <c r="E249" s="2">
        <f>TabelaMucambo[[#This Row],[Qtde]]*TabelaMucambo[[#This Row],[Vl. Unitário]]</f>
        <v>87.271180000000001</v>
      </c>
      <c r="F249" s="7" t="str">
        <f>VLOOKUP(TabelaMucambo[[#This Row],[Código+Produto]],Base!A:C,3,0)</f>
        <v>queijo coalho mp</v>
      </c>
      <c r="G249" s="8" t="str">
        <f>VLOOKUP(A249,Base!A:D,4,0)</f>
        <v>LATICINIOS</v>
      </c>
    </row>
    <row r="250" spans="1:7" x14ac:dyDescent="0.25">
      <c r="A250" s="1" t="s">
        <v>15</v>
      </c>
      <c r="B250" s="1" t="s">
        <v>1</v>
      </c>
      <c r="C250" s="3">
        <v>1.95</v>
      </c>
      <c r="D250" s="2">
        <v>31.5</v>
      </c>
      <c r="E250" s="2">
        <f>TabelaMucambo[[#This Row],[Qtde]]*TabelaMucambo[[#This Row],[Vl. Unitário]]</f>
        <v>61.424999999999997</v>
      </c>
      <c r="F250" s="7" t="str">
        <f>VLOOKUP(TabelaMucambo[[#This Row],[Código+Produto]],Base!A:C,3,0)</f>
        <v>queijo mussarela mp</v>
      </c>
      <c r="G250" s="8" t="str">
        <f>VLOOKUP(A250,Base!A:D,4,0)</f>
        <v>LATICINIOS</v>
      </c>
    </row>
    <row r="251" spans="1:7" x14ac:dyDescent="0.25">
      <c r="A251" s="1" t="s">
        <v>15</v>
      </c>
      <c r="B251" s="1" t="s">
        <v>1</v>
      </c>
      <c r="C251" s="3">
        <v>4</v>
      </c>
      <c r="D251" s="2">
        <v>31.5</v>
      </c>
      <c r="E251" s="2">
        <f>TabelaMucambo[[#This Row],[Qtde]]*TabelaMucambo[[#This Row],[Vl. Unitário]]</f>
        <v>126</v>
      </c>
      <c r="F251" s="7" t="str">
        <f>VLOOKUP(TabelaMucambo[[#This Row],[Código+Produto]],Base!A:C,3,0)</f>
        <v>queijo mussarela mp</v>
      </c>
      <c r="G251" s="8" t="str">
        <f>VLOOKUP(A251,Base!A:D,4,0)</f>
        <v>LATICINIOS</v>
      </c>
    </row>
    <row r="252" spans="1:7" x14ac:dyDescent="0.25">
      <c r="A252" s="1" t="s">
        <v>15</v>
      </c>
      <c r="B252" s="1" t="s">
        <v>1</v>
      </c>
      <c r="C252" s="3">
        <v>3.9</v>
      </c>
      <c r="D252" s="2">
        <v>31.5</v>
      </c>
      <c r="E252" s="2">
        <f>TabelaMucambo[[#This Row],[Qtde]]*TabelaMucambo[[#This Row],[Vl. Unitário]]</f>
        <v>122.85</v>
      </c>
      <c r="F252" s="7" t="str">
        <f>VLOOKUP(TabelaMucambo[[#This Row],[Código+Produto]],Base!A:C,3,0)</f>
        <v>queijo mussarela mp</v>
      </c>
      <c r="G252" s="8" t="str">
        <f>VLOOKUP(A252,Base!A:D,4,0)</f>
        <v>LATICINIOS</v>
      </c>
    </row>
    <row r="253" spans="1:7" x14ac:dyDescent="0.25">
      <c r="A253" s="1" t="s">
        <v>15</v>
      </c>
      <c r="B253" s="1" t="s">
        <v>1</v>
      </c>
      <c r="C253" s="3">
        <v>4.05</v>
      </c>
      <c r="D253" s="2">
        <v>30.990100000000002</v>
      </c>
      <c r="E253" s="2">
        <f>TabelaMucambo[[#This Row],[Qtde]]*TabelaMucambo[[#This Row],[Vl. Unitário]]</f>
        <v>125.509905</v>
      </c>
      <c r="F253" s="7" t="str">
        <f>VLOOKUP(TabelaMucambo[[#This Row],[Código+Produto]],Base!A:C,3,0)</f>
        <v>queijo mussarela mp</v>
      </c>
      <c r="G253" s="8" t="str">
        <f>VLOOKUP(A253,Base!A:D,4,0)</f>
        <v>LATICINIOS</v>
      </c>
    </row>
    <row r="254" spans="1:7" x14ac:dyDescent="0.25">
      <c r="A254" s="1" t="s">
        <v>15</v>
      </c>
      <c r="B254" s="1" t="s">
        <v>1</v>
      </c>
      <c r="C254" s="3">
        <v>4</v>
      </c>
      <c r="D254" s="2">
        <v>30.990100000000002</v>
      </c>
      <c r="E254" s="2">
        <f>TabelaMucambo[[#This Row],[Qtde]]*TabelaMucambo[[#This Row],[Vl. Unitário]]</f>
        <v>123.96040000000001</v>
      </c>
      <c r="F254" s="7" t="str">
        <f>VLOOKUP(TabelaMucambo[[#This Row],[Código+Produto]],Base!A:C,3,0)</f>
        <v>queijo mussarela mp</v>
      </c>
      <c r="G254" s="8" t="str">
        <f>VLOOKUP(A254,Base!A:D,4,0)</f>
        <v>LATICINIOS</v>
      </c>
    </row>
    <row r="255" spans="1:7" x14ac:dyDescent="0.25">
      <c r="A255" s="1" t="s">
        <v>15</v>
      </c>
      <c r="B255" s="1" t="s">
        <v>1</v>
      </c>
      <c r="C255" s="3">
        <v>4.5999999999999996</v>
      </c>
      <c r="D255" s="2">
        <v>30.990100000000002</v>
      </c>
      <c r="E255" s="2">
        <f>TabelaMucambo[[#This Row],[Qtde]]*TabelaMucambo[[#This Row],[Vl. Unitário]]</f>
        <v>142.55446000000001</v>
      </c>
      <c r="F255" s="7" t="str">
        <f>VLOOKUP(TabelaMucambo[[#This Row],[Código+Produto]],Base!A:C,3,0)</f>
        <v>queijo mussarela mp</v>
      </c>
      <c r="G255" s="8" t="str">
        <f>VLOOKUP(A255,Base!A:D,4,0)</f>
        <v>LATICINIOS</v>
      </c>
    </row>
    <row r="256" spans="1:7" x14ac:dyDescent="0.25">
      <c r="A256" s="1" t="s">
        <v>15</v>
      </c>
      <c r="B256" s="1" t="s">
        <v>1</v>
      </c>
      <c r="C256" s="3">
        <v>1.5</v>
      </c>
      <c r="D256" s="2">
        <v>30.990100000000002</v>
      </c>
      <c r="E256" s="2">
        <f>TabelaMucambo[[#This Row],[Qtde]]*TabelaMucambo[[#This Row],[Vl. Unitário]]</f>
        <v>46.485150000000004</v>
      </c>
      <c r="F256" s="7" t="str">
        <f>VLOOKUP(TabelaMucambo[[#This Row],[Código+Produto]],Base!A:C,3,0)</f>
        <v>queijo mussarela mp</v>
      </c>
      <c r="G256" s="8" t="str">
        <f>VLOOKUP(A256,Base!A:D,4,0)</f>
        <v>LATICINIOS</v>
      </c>
    </row>
    <row r="257" spans="1:7" x14ac:dyDescent="0.25">
      <c r="A257" s="1" t="s">
        <v>15</v>
      </c>
      <c r="B257" s="1" t="s">
        <v>1</v>
      </c>
      <c r="C257" s="3">
        <v>2.16</v>
      </c>
      <c r="D257" s="2">
        <v>30.990100000000002</v>
      </c>
      <c r="E257" s="2">
        <f>TabelaMucambo[[#This Row],[Qtde]]*TabelaMucambo[[#This Row],[Vl. Unitário]]</f>
        <v>66.93861600000001</v>
      </c>
      <c r="F257" s="40" t="str">
        <f>VLOOKUP(TabelaMucambo[[#This Row],[Código+Produto]],Base!A:C,3,0)</f>
        <v>queijo mussarela mp</v>
      </c>
      <c r="G257" s="8" t="str">
        <f>VLOOKUP(A257,Base!A:D,4,0)</f>
        <v>LATICINIOS</v>
      </c>
    </row>
    <row r="258" spans="1:7" x14ac:dyDescent="0.25">
      <c r="A258" s="1" t="s">
        <v>37</v>
      </c>
      <c r="B258" s="1" t="s">
        <v>1</v>
      </c>
      <c r="C258" s="3">
        <v>3.4</v>
      </c>
      <c r="D258" s="2">
        <v>33</v>
      </c>
      <c r="E258" s="2">
        <f>TabelaMucambo[[#This Row],[Qtde]]*TabelaMucambo[[#This Row],[Vl. Unitário]]</f>
        <v>112.2</v>
      </c>
      <c r="F258" s="7" t="str">
        <f>VLOOKUP(TabelaMucambo[[#This Row],[Código+Produto]],Base!A:C,3,0)</f>
        <v>camarao mp</v>
      </c>
      <c r="G258" s="8" t="str">
        <f>VLOOKUP(A258,Base!A:D,4,0)</f>
        <v>PEIXES E FRUTOS DO MAR</v>
      </c>
    </row>
    <row r="259" spans="1:7" x14ac:dyDescent="0.25">
      <c r="A259" s="1" t="s">
        <v>37</v>
      </c>
      <c r="B259" s="1" t="s">
        <v>1</v>
      </c>
      <c r="C259" s="3">
        <v>2.5</v>
      </c>
      <c r="D259" s="2">
        <v>33</v>
      </c>
      <c r="E259" s="2">
        <f>TabelaMucambo[[#This Row],[Qtde]]*TabelaMucambo[[#This Row],[Vl. Unitário]]</f>
        <v>82.5</v>
      </c>
      <c r="F259" s="7" t="str">
        <f>VLOOKUP(TabelaMucambo[[#This Row],[Código+Produto]],Base!A:C,3,0)</f>
        <v>camarao mp</v>
      </c>
      <c r="G259" s="8" t="str">
        <f>VLOOKUP(A259,Base!A:D,4,0)</f>
        <v>PEIXES E FRUTOS DO MAR</v>
      </c>
    </row>
    <row r="260" spans="1:7" x14ac:dyDescent="0.25">
      <c r="A260" s="1" t="s">
        <v>37</v>
      </c>
      <c r="B260" s="1" t="s">
        <v>1</v>
      </c>
      <c r="C260" s="3">
        <v>2.9</v>
      </c>
      <c r="D260" s="2">
        <v>33</v>
      </c>
      <c r="E260" s="2">
        <f>TabelaMucambo[[#This Row],[Qtde]]*TabelaMucambo[[#This Row],[Vl. Unitário]]</f>
        <v>95.7</v>
      </c>
      <c r="F260" s="7" t="str">
        <f>VLOOKUP(TabelaMucambo[[#This Row],[Código+Produto]],Base!A:C,3,0)</f>
        <v>camarao mp</v>
      </c>
      <c r="G260" s="8" t="str">
        <f>VLOOKUP(A260,Base!A:D,4,0)</f>
        <v>PEIXES E FRUTOS DO MAR</v>
      </c>
    </row>
    <row r="261" spans="1:7" x14ac:dyDescent="0.25">
      <c r="A261" s="1" t="s">
        <v>37</v>
      </c>
      <c r="B261" s="1" t="s">
        <v>1</v>
      </c>
      <c r="C261" s="3">
        <v>5.3</v>
      </c>
      <c r="D261" s="2">
        <v>33</v>
      </c>
      <c r="E261" s="2">
        <f>TabelaMucambo[[#This Row],[Qtde]]*TabelaMucambo[[#This Row],[Vl. Unitário]]</f>
        <v>174.9</v>
      </c>
      <c r="F261" s="7" t="str">
        <f>VLOOKUP(TabelaMucambo[[#This Row],[Código+Produto]],Base!A:C,3,0)</f>
        <v>camarao mp</v>
      </c>
      <c r="G261" s="8" t="str">
        <f>VLOOKUP(A261,Base!A:D,4,0)</f>
        <v>PEIXES E FRUTOS DO MAR</v>
      </c>
    </row>
    <row r="262" spans="1:7" x14ac:dyDescent="0.25">
      <c r="A262" s="1" t="s">
        <v>37</v>
      </c>
      <c r="B262" s="1" t="s">
        <v>1</v>
      </c>
      <c r="C262" s="3">
        <v>4.9000000000000004</v>
      </c>
      <c r="D262" s="2">
        <v>33</v>
      </c>
      <c r="E262" s="2">
        <f>TabelaMucambo[[#This Row],[Qtde]]*TabelaMucambo[[#This Row],[Vl. Unitário]]</f>
        <v>161.70000000000002</v>
      </c>
      <c r="F262" s="40" t="str">
        <f>VLOOKUP(TabelaMucambo[[#This Row],[Código+Produto]],Base!A:C,3,0)</f>
        <v>camarao mp</v>
      </c>
      <c r="G262" s="8" t="str">
        <f>VLOOKUP(A262,Base!A:D,4,0)</f>
        <v>PEIXES E FRUTOS DO MAR</v>
      </c>
    </row>
    <row r="263" spans="1:7" x14ac:dyDescent="0.25">
      <c r="A263" s="1" t="s">
        <v>1196</v>
      </c>
      <c r="B263" s="1" t="s">
        <v>1</v>
      </c>
      <c r="C263" s="3">
        <v>2</v>
      </c>
      <c r="D263" s="2">
        <v>3</v>
      </c>
      <c r="E263" s="2">
        <f>TabelaMucambo[[#This Row],[Qtde]]*TabelaMucambo[[#This Row],[Vl. Unitário]]</f>
        <v>6</v>
      </c>
      <c r="F263" s="7" t="str">
        <f>VLOOKUP(TabelaMucambo[[#This Row],[Código+Produto]],Base!A:C,3,0)</f>
        <v>acucar mp</v>
      </c>
      <c r="G263" s="8" t="str">
        <f>VLOOKUP(A263,Base!A:D,4,0)</f>
        <v>SECOS E MERCEARIA</v>
      </c>
    </row>
    <row r="264" spans="1:7" x14ac:dyDescent="0.25">
      <c r="A264" s="1" t="s">
        <v>1196</v>
      </c>
      <c r="B264" s="1" t="s">
        <v>1</v>
      </c>
      <c r="C264" s="3">
        <v>14</v>
      </c>
      <c r="D264" s="2">
        <v>3</v>
      </c>
      <c r="E264" s="2">
        <f>TabelaMucambo[[#This Row],[Qtde]]*TabelaMucambo[[#This Row],[Vl. Unitário]]</f>
        <v>42</v>
      </c>
      <c r="F264" s="7" t="str">
        <f>VLOOKUP(TabelaMucambo[[#This Row],[Código+Produto]],Base!A:C,3,0)</f>
        <v>acucar mp</v>
      </c>
      <c r="G264" s="8" t="str">
        <f>VLOOKUP(A264,Base!A:D,4,0)</f>
        <v>SECOS E MERCEARIA</v>
      </c>
    </row>
    <row r="265" spans="1:7" x14ac:dyDescent="0.25">
      <c r="A265" s="1" t="s">
        <v>1211</v>
      </c>
      <c r="B265" s="1" t="s">
        <v>1</v>
      </c>
      <c r="C265" s="3">
        <v>20</v>
      </c>
      <c r="D265" s="2">
        <v>4.57</v>
      </c>
      <c r="E265" s="2">
        <f>TabelaMucambo[[#This Row],[Qtde]]*TabelaMucambo[[#This Row],[Vl. Unitário]]</f>
        <v>91.4</v>
      </c>
      <c r="F265" s="7" t="str">
        <f>VLOOKUP(TabelaMucambo[[#This Row],[Código+Produto]],Base!A:C,3,0)</f>
        <v>arroz branco mp</v>
      </c>
      <c r="G265" s="8" t="str">
        <f>VLOOKUP(A265,Base!A:D,4,0)</f>
        <v>SECOS E MERCEARIA</v>
      </c>
    </row>
    <row r="266" spans="1:7" x14ac:dyDescent="0.25">
      <c r="A266" s="1" t="s">
        <v>1211</v>
      </c>
      <c r="B266" s="1" t="s">
        <v>1</v>
      </c>
      <c r="C266" s="3">
        <v>20</v>
      </c>
      <c r="D266" s="2">
        <v>4.57</v>
      </c>
      <c r="E266" s="2">
        <f>TabelaMucambo[[#This Row],[Qtde]]*TabelaMucambo[[#This Row],[Vl. Unitário]]</f>
        <v>91.4</v>
      </c>
      <c r="F266" s="7" t="str">
        <f>VLOOKUP(TabelaMucambo[[#This Row],[Código+Produto]],Base!A:C,3,0)</f>
        <v>arroz branco mp</v>
      </c>
      <c r="G266" s="8" t="str">
        <f>VLOOKUP(A266,Base!A:D,4,0)</f>
        <v>SECOS E MERCEARIA</v>
      </c>
    </row>
    <row r="267" spans="1:7" x14ac:dyDescent="0.25">
      <c r="A267" s="1" t="s">
        <v>49</v>
      </c>
      <c r="B267" s="1" t="s">
        <v>1</v>
      </c>
      <c r="C267" s="3">
        <v>10</v>
      </c>
      <c r="D267" s="2">
        <v>3.9</v>
      </c>
      <c r="E267" s="2">
        <f>TabelaMucambo[[#This Row],[Qtde]]*TabelaMucambo[[#This Row],[Vl. Unitário]]</f>
        <v>39</v>
      </c>
      <c r="F267" s="7" t="str">
        <f>VLOOKUP(TabelaMucambo[[#This Row],[Código+Produto]],Base!A:C,3,0)</f>
        <v>arroz parboilizado mp</v>
      </c>
      <c r="G267" s="8" t="str">
        <f>VLOOKUP(A267,Base!A:D,4,0)</f>
        <v>SECOS E MERCEARIA</v>
      </c>
    </row>
    <row r="268" spans="1:7" x14ac:dyDescent="0.25">
      <c r="A268" s="1" t="s">
        <v>49</v>
      </c>
      <c r="B268" s="1" t="s">
        <v>1</v>
      </c>
      <c r="C268" s="3">
        <v>30</v>
      </c>
      <c r="D268" s="2">
        <v>3.9</v>
      </c>
      <c r="E268" s="2">
        <f>TabelaMucambo[[#This Row],[Qtde]]*TabelaMucambo[[#This Row],[Vl. Unitário]]</f>
        <v>117</v>
      </c>
      <c r="F268" s="7" t="str">
        <f>VLOOKUP(TabelaMucambo[[#This Row],[Código+Produto]],Base!A:C,3,0)</f>
        <v>arroz parboilizado mp</v>
      </c>
      <c r="G268" s="8" t="str">
        <f>VLOOKUP(A268,Base!A:D,4,0)</f>
        <v>SECOS E MERCEARIA</v>
      </c>
    </row>
    <row r="269" spans="1:7" x14ac:dyDescent="0.25">
      <c r="A269" s="1" t="s">
        <v>49</v>
      </c>
      <c r="B269" s="1" t="s">
        <v>1</v>
      </c>
      <c r="C269" s="3">
        <v>40</v>
      </c>
      <c r="D269" s="2">
        <v>3.9</v>
      </c>
      <c r="E269" s="2">
        <f>TabelaMucambo[[#This Row],[Qtde]]*TabelaMucambo[[#This Row],[Vl. Unitário]]</f>
        <v>156</v>
      </c>
      <c r="F269" s="7" t="str">
        <f>VLOOKUP(TabelaMucambo[[#This Row],[Código+Produto]],Base!A:C,3,0)</f>
        <v>arroz parboilizado mp</v>
      </c>
      <c r="G269" s="8" t="str">
        <f>VLOOKUP(A269,Base!A:D,4,0)</f>
        <v>SECOS E MERCEARIA</v>
      </c>
    </row>
    <row r="270" spans="1:7" x14ac:dyDescent="0.25">
      <c r="A270" s="1" t="s">
        <v>49</v>
      </c>
      <c r="B270" s="1" t="s">
        <v>1</v>
      </c>
      <c r="C270" s="3">
        <v>20</v>
      </c>
      <c r="D270" s="2">
        <v>3.9</v>
      </c>
      <c r="E270" s="2">
        <f>TabelaMucambo[[#This Row],[Qtde]]*TabelaMucambo[[#This Row],[Vl. Unitário]]</f>
        <v>78</v>
      </c>
      <c r="F270" s="7" t="str">
        <f>VLOOKUP(TabelaMucambo[[#This Row],[Código+Produto]],Base!A:C,3,0)</f>
        <v>arroz parboilizado mp</v>
      </c>
      <c r="G270" s="8" t="str">
        <f>VLOOKUP(A270,Base!A:D,4,0)</f>
        <v>SECOS E MERCEARIA</v>
      </c>
    </row>
    <row r="271" spans="1:7" x14ac:dyDescent="0.25">
      <c r="A271" s="1" t="s">
        <v>49</v>
      </c>
      <c r="B271" s="1" t="s">
        <v>1</v>
      </c>
      <c r="C271" s="3">
        <v>30</v>
      </c>
      <c r="D271" s="2">
        <v>3.75</v>
      </c>
      <c r="E271" s="2">
        <f>TabelaMucambo[[#This Row],[Qtde]]*TabelaMucambo[[#This Row],[Vl. Unitário]]</f>
        <v>112.5</v>
      </c>
      <c r="F271" s="7" t="str">
        <f>VLOOKUP(TabelaMucambo[[#This Row],[Código+Produto]],Base!A:C,3,0)</f>
        <v>arroz parboilizado mp</v>
      </c>
      <c r="G271" s="8" t="str">
        <f>VLOOKUP(A271,Base!A:D,4,0)</f>
        <v>SECOS E MERCEARIA</v>
      </c>
    </row>
    <row r="272" spans="1:7" x14ac:dyDescent="0.25">
      <c r="A272" s="1" t="s">
        <v>49</v>
      </c>
      <c r="B272" s="1" t="s">
        <v>1</v>
      </c>
      <c r="C272" s="3">
        <v>30</v>
      </c>
      <c r="D272" s="2">
        <v>3.75</v>
      </c>
      <c r="E272" s="2">
        <f>TabelaMucambo[[#This Row],[Qtde]]*TabelaMucambo[[#This Row],[Vl. Unitário]]</f>
        <v>112.5</v>
      </c>
      <c r="F272" s="7" t="str">
        <f>VLOOKUP(TabelaMucambo[[#This Row],[Código+Produto]],Base!A:C,3,0)</f>
        <v>arroz parboilizado mp</v>
      </c>
      <c r="G272" s="8" t="str">
        <f>VLOOKUP(A272,Base!A:D,4,0)</f>
        <v>SECOS E MERCEARIA</v>
      </c>
    </row>
    <row r="273" spans="1:7" x14ac:dyDescent="0.25">
      <c r="A273" s="1" t="s">
        <v>49</v>
      </c>
      <c r="B273" s="1" t="s">
        <v>1</v>
      </c>
      <c r="C273" s="3">
        <v>20</v>
      </c>
      <c r="D273" s="2">
        <v>3.75</v>
      </c>
      <c r="E273" s="2">
        <f>TabelaMucambo[[#This Row],[Qtde]]*TabelaMucambo[[#This Row],[Vl. Unitário]]</f>
        <v>75</v>
      </c>
      <c r="F273" s="7" t="str">
        <f>VLOOKUP(TabelaMucambo[[#This Row],[Código+Produto]],Base!A:C,3,0)</f>
        <v>arroz parboilizado mp</v>
      </c>
      <c r="G273" s="8" t="str">
        <f>VLOOKUP(A273,Base!A:D,4,0)</f>
        <v>SECOS E MERCEARIA</v>
      </c>
    </row>
    <row r="274" spans="1:7" x14ac:dyDescent="0.25">
      <c r="A274" s="1" t="s">
        <v>49</v>
      </c>
      <c r="B274" s="1" t="s">
        <v>1</v>
      </c>
      <c r="C274" s="3">
        <v>30</v>
      </c>
      <c r="D274" s="2">
        <v>3.75</v>
      </c>
      <c r="E274" s="2">
        <f>TabelaMucambo[[#This Row],[Qtde]]*TabelaMucambo[[#This Row],[Vl. Unitário]]</f>
        <v>112.5</v>
      </c>
      <c r="F274" s="7" t="str">
        <f>VLOOKUP(TabelaMucambo[[#This Row],[Código+Produto]],Base!A:C,3,0)</f>
        <v>arroz parboilizado mp</v>
      </c>
      <c r="G274" s="8" t="str">
        <f>VLOOKUP(A274,Base!A:D,4,0)</f>
        <v>SECOS E MERCEARIA</v>
      </c>
    </row>
    <row r="275" spans="1:7" x14ac:dyDescent="0.25">
      <c r="A275" s="1" t="s">
        <v>49</v>
      </c>
      <c r="B275" s="1" t="s">
        <v>1</v>
      </c>
      <c r="C275" s="3">
        <v>20</v>
      </c>
      <c r="D275" s="2">
        <v>3.75</v>
      </c>
      <c r="E275" s="2">
        <f>TabelaMucambo[[#This Row],[Qtde]]*TabelaMucambo[[#This Row],[Vl. Unitário]]</f>
        <v>75</v>
      </c>
      <c r="F275" s="7" t="str">
        <f>VLOOKUP(TabelaMucambo[[#This Row],[Código+Produto]],Base!A:C,3,0)</f>
        <v>arroz parboilizado mp</v>
      </c>
      <c r="G275" s="8" t="str">
        <f>VLOOKUP(A275,Base!A:D,4,0)</f>
        <v>SECOS E MERCEARIA</v>
      </c>
    </row>
    <row r="276" spans="1:7" x14ac:dyDescent="0.25">
      <c r="A276" s="1" t="s">
        <v>49</v>
      </c>
      <c r="B276" s="1" t="s">
        <v>1</v>
      </c>
      <c r="C276" s="3">
        <v>20</v>
      </c>
      <c r="D276" s="2">
        <v>3.75</v>
      </c>
      <c r="E276" s="2">
        <f>TabelaMucambo[[#This Row],[Qtde]]*TabelaMucambo[[#This Row],[Vl. Unitário]]</f>
        <v>75</v>
      </c>
      <c r="F276" s="7" t="str">
        <f>VLOOKUP(TabelaMucambo[[#This Row],[Código+Produto]],Base!A:C,3,0)</f>
        <v>arroz parboilizado mp</v>
      </c>
      <c r="G276" s="8" t="str">
        <f>VLOOKUP(A276,Base!A:D,4,0)</f>
        <v>SECOS E MERCEARIA</v>
      </c>
    </row>
    <row r="277" spans="1:7" x14ac:dyDescent="0.25">
      <c r="A277" s="1" t="s">
        <v>49</v>
      </c>
      <c r="B277" s="1" t="s">
        <v>1</v>
      </c>
      <c r="C277" s="3">
        <v>30</v>
      </c>
      <c r="D277" s="2">
        <v>3.75</v>
      </c>
      <c r="E277" s="2">
        <f>TabelaMucambo[[#This Row],[Qtde]]*TabelaMucambo[[#This Row],[Vl. Unitário]]</f>
        <v>112.5</v>
      </c>
      <c r="F277" s="40" t="str">
        <f>VLOOKUP(TabelaMucambo[[#This Row],[Código+Produto]],Base!A:C,3,0)</f>
        <v>arroz parboilizado mp</v>
      </c>
      <c r="G277" s="8" t="str">
        <f>VLOOKUP(A277,Base!A:D,4,0)</f>
        <v>SECOS E MERCEARIA</v>
      </c>
    </row>
    <row r="278" spans="1:7" x14ac:dyDescent="0.25">
      <c r="A278" s="1" t="s">
        <v>23</v>
      </c>
      <c r="B278" s="1" t="s">
        <v>1</v>
      </c>
      <c r="C278" s="3">
        <v>4</v>
      </c>
      <c r="D278" s="2">
        <v>12.4071</v>
      </c>
      <c r="E278" s="2">
        <f>TabelaMucambo[[#This Row],[Qtde]]*TabelaMucambo[[#This Row],[Vl. Unitário]]</f>
        <v>49.628399999999999</v>
      </c>
      <c r="F278" s="7" t="str">
        <f>VLOOKUP(TabelaMucambo[[#This Row],[Código+Produto]],Base!A:C,3,0)</f>
        <v>creme culinario mp</v>
      </c>
      <c r="G278" s="8" t="str">
        <f>VLOOKUP(A278,Base!A:D,4,0)</f>
        <v>SECOS E MERCEARIA</v>
      </c>
    </row>
    <row r="279" spans="1:7" x14ac:dyDescent="0.25">
      <c r="A279" s="1" t="s">
        <v>23</v>
      </c>
      <c r="B279" s="1" t="s">
        <v>1</v>
      </c>
      <c r="C279" s="3">
        <v>3</v>
      </c>
      <c r="D279" s="2">
        <v>12.4071</v>
      </c>
      <c r="E279" s="2">
        <f>TabelaMucambo[[#This Row],[Qtde]]*TabelaMucambo[[#This Row],[Vl. Unitário]]</f>
        <v>37.221299999999999</v>
      </c>
      <c r="F279" s="7" t="str">
        <f>VLOOKUP(TabelaMucambo[[#This Row],[Código+Produto]],Base!A:C,3,0)</f>
        <v>creme culinario mp</v>
      </c>
      <c r="G279" s="8" t="str">
        <f>VLOOKUP(A279,Base!A:D,4,0)</f>
        <v>SECOS E MERCEARIA</v>
      </c>
    </row>
    <row r="280" spans="1:7" x14ac:dyDescent="0.25">
      <c r="A280" s="1" t="s">
        <v>23</v>
      </c>
      <c r="B280" s="1" t="s">
        <v>1</v>
      </c>
      <c r="C280" s="3">
        <v>6</v>
      </c>
      <c r="D280" s="2">
        <v>13.09</v>
      </c>
      <c r="E280" s="2">
        <f>TabelaMucambo[[#This Row],[Qtde]]*TabelaMucambo[[#This Row],[Vl. Unitário]]</f>
        <v>78.539999999999992</v>
      </c>
      <c r="F280" s="7" t="str">
        <f>VLOOKUP(TabelaMucambo[[#This Row],[Código+Produto]],Base!A:C,3,0)</f>
        <v>creme culinario mp</v>
      </c>
      <c r="G280" s="8" t="str">
        <f>VLOOKUP(A280,Base!A:D,4,0)</f>
        <v>SECOS E MERCEARIA</v>
      </c>
    </row>
    <row r="281" spans="1:7" x14ac:dyDescent="0.25">
      <c r="A281" s="1" t="s">
        <v>38</v>
      </c>
      <c r="B281" s="1" t="s">
        <v>1</v>
      </c>
      <c r="C281" s="3">
        <v>4</v>
      </c>
      <c r="D281" s="2">
        <v>7</v>
      </c>
      <c r="E281" s="2">
        <f>TabelaMucambo[[#This Row],[Qtde]]*TabelaMucambo[[#This Row],[Vl. Unitário]]</f>
        <v>28</v>
      </c>
      <c r="F281" s="7" t="str">
        <f>VLOOKUP(TabelaMucambo[[#This Row],[Código+Produto]],Base!A:C,3,0)</f>
        <v>farinha de rosca mp</v>
      </c>
      <c r="G281" s="8" t="str">
        <f>VLOOKUP(A281,Base!A:D,4,0)</f>
        <v>SECOS E MERCEARIA</v>
      </c>
    </row>
    <row r="282" spans="1:7" x14ac:dyDescent="0.25">
      <c r="A282" s="1" t="s">
        <v>38</v>
      </c>
      <c r="B282" s="1" t="s">
        <v>1</v>
      </c>
      <c r="C282" s="3">
        <v>12.4</v>
      </c>
      <c r="D282" s="2">
        <v>7</v>
      </c>
      <c r="E282" s="2">
        <f>TabelaMucambo[[#This Row],[Qtde]]*TabelaMucambo[[#This Row],[Vl. Unitário]]</f>
        <v>86.8</v>
      </c>
      <c r="F282" s="7" t="str">
        <f>VLOOKUP(TabelaMucambo[[#This Row],[Código+Produto]],Base!A:C,3,0)</f>
        <v>farinha de rosca mp</v>
      </c>
      <c r="G282" s="8" t="str">
        <f>VLOOKUP(A282,Base!A:D,4,0)</f>
        <v>SECOS E MERCEARIA</v>
      </c>
    </row>
    <row r="283" spans="1:7" x14ac:dyDescent="0.25">
      <c r="A283" s="1" t="s">
        <v>38</v>
      </c>
      <c r="B283" s="1" t="s">
        <v>1</v>
      </c>
      <c r="C283" s="3">
        <v>6</v>
      </c>
      <c r="D283" s="2">
        <v>7</v>
      </c>
      <c r="E283" s="2">
        <f>TabelaMucambo[[#This Row],[Qtde]]*TabelaMucambo[[#This Row],[Vl. Unitário]]</f>
        <v>42</v>
      </c>
      <c r="F283" s="7" t="str">
        <f>VLOOKUP(TabelaMucambo[[#This Row],[Código+Produto]],Base!A:C,3,0)</f>
        <v>farinha de rosca mp</v>
      </c>
      <c r="G283" s="8" t="str">
        <f>VLOOKUP(A283,Base!A:D,4,0)</f>
        <v>SECOS E MERCEARIA</v>
      </c>
    </row>
    <row r="284" spans="1:7" x14ac:dyDescent="0.25">
      <c r="A284" s="1" t="s">
        <v>27</v>
      </c>
      <c r="B284" s="1" t="s">
        <v>1</v>
      </c>
      <c r="C284" s="3">
        <v>10</v>
      </c>
      <c r="D284" s="2">
        <v>4</v>
      </c>
      <c r="E284" s="2">
        <f>TabelaMucambo[[#This Row],[Qtde]]*TabelaMucambo[[#This Row],[Vl. Unitário]]</f>
        <v>40</v>
      </c>
      <c r="F284" s="7" t="str">
        <f>VLOOKUP(TabelaMucambo[[#This Row],[Código+Produto]],Base!A:C,3,0)</f>
        <v>farinha de trigo mp</v>
      </c>
      <c r="G284" s="8" t="str">
        <f>VLOOKUP(A284,Base!A:D,4,0)</f>
        <v>SECOS E MERCEARIA</v>
      </c>
    </row>
    <row r="285" spans="1:7" x14ac:dyDescent="0.25">
      <c r="A285" s="1" t="s">
        <v>27</v>
      </c>
      <c r="B285" s="1" t="s">
        <v>1</v>
      </c>
      <c r="C285" s="3">
        <v>10</v>
      </c>
      <c r="D285" s="2">
        <v>3.91</v>
      </c>
      <c r="E285" s="2">
        <f>TabelaMucambo[[#This Row],[Qtde]]*TabelaMucambo[[#This Row],[Vl. Unitário]]</f>
        <v>39.1</v>
      </c>
      <c r="F285" s="7" t="str">
        <f>VLOOKUP(TabelaMucambo[[#This Row],[Código+Produto]],Base!A:C,3,0)</f>
        <v>farinha de trigo mp</v>
      </c>
      <c r="G285" s="8" t="str">
        <f>VLOOKUP(A285,Base!A:D,4,0)</f>
        <v>SECOS E MERCEARIA</v>
      </c>
    </row>
    <row r="286" spans="1:7" x14ac:dyDescent="0.25">
      <c r="A286" s="1" t="s">
        <v>27</v>
      </c>
      <c r="B286" s="1" t="s">
        <v>1</v>
      </c>
      <c r="C286" s="3">
        <v>10</v>
      </c>
      <c r="D286" s="2">
        <v>3.91</v>
      </c>
      <c r="E286" s="2">
        <f>TabelaMucambo[[#This Row],[Qtde]]*TabelaMucambo[[#This Row],[Vl. Unitário]]</f>
        <v>39.1</v>
      </c>
      <c r="F286" s="7" t="str">
        <f>VLOOKUP(TabelaMucambo[[#This Row],[Código+Produto]],Base!A:C,3,0)</f>
        <v>farinha de trigo mp</v>
      </c>
      <c r="G286" s="8" t="str">
        <f>VLOOKUP(A286,Base!A:D,4,0)</f>
        <v>SECOS E MERCEARIA</v>
      </c>
    </row>
    <row r="287" spans="1:7" x14ac:dyDescent="0.25">
      <c r="A287" s="1" t="s">
        <v>36</v>
      </c>
      <c r="B287" s="1" t="s">
        <v>1</v>
      </c>
      <c r="C287" s="3">
        <v>11.5</v>
      </c>
      <c r="D287" s="2">
        <v>6.5</v>
      </c>
      <c r="E287" s="2">
        <f>TabelaMucambo[[#This Row],[Qtde]]*TabelaMucambo[[#This Row],[Vl. Unitário]]</f>
        <v>74.75</v>
      </c>
      <c r="F287" s="7" t="str">
        <f>VLOOKUP(TabelaMucambo[[#This Row],[Código+Produto]],Base!A:C,3,0)</f>
        <v>feijao branco mp</v>
      </c>
      <c r="G287" s="8" t="str">
        <f>VLOOKUP(A287,Base!A:D,4,0)</f>
        <v>SECOS E MERCEARIA</v>
      </c>
    </row>
    <row r="288" spans="1:7" x14ac:dyDescent="0.25">
      <c r="A288" s="1" t="s">
        <v>46</v>
      </c>
      <c r="B288" s="1" t="s">
        <v>1</v>
      </c>
      <c r="C288" s="3">
        <v>3.5</v>
      </c>
      <c r="D288" s="2">
        <v>7.0591999999999997</v>
      </c>
      <c r="E288" s="2">
        <f>TabelaMucambo[[#This Row],[Qtde]]*TabelaMucambo[[#This Row],[Vl. Unitário]]</f>
        <v>24.7072</v>
      </c>
      <c r="F288" s="7" t="str">
        <f>VLOOKUP(TabelaMucambo[[#This Row],[Código+Produto]],Base!A:C,3,0)</f>
        <v>ketchup mp</v>
      </c>
      <c r="G288" s="8" t="str">
        <f>VLOOKUP(A288,Base!A:D,4,0)</f>
        <v>SECOS E MERCEARIA</v>
      </c>
    </row>
    <row r="289" spans="1:7" x14ac:dyDescent="0.25">
      <c r="A289" s="1" t="s">
        <v>46</v>
      </c>
      <c r="B289" s="1" t="s">
        <v>1</v>
      </c>
      <c r="C289" s="3">
        <v>3.3</v>
      </c>
      <c r="D289" s="2">
        <v>7.0591999999999997</v>
      </c>
      <c r="E289" s="2">
        <f>TabelaMucambo[[#This Row],[Qtde]]*TabelaMucambo[[#This Row],[Vl. Unitário]]</f>
        <v>23.295359999999999</v>
      </c>
      <c r="F289" s="7" t="str">
        <f>VLOOKUP(TabelaMucambo[[#This Row],[Código+Produto]],Base!A:C,3,0)</f>
        <v>ketchup mp</v>
      </c>
      <c r="G289" s="8" t="str">
        <f>VLOOKUP(A289,Base!A:D,4,0)</f>
        <v>SECOS E MERCEARIA</v>
      </c>
    </row>
    <row r="290" spans="1:7" x14ac:dyDescent="0.25">
      <c r="A290" s="1" t="s">
        <v>46</v>
      </c>
      <c r="B290" s="1" t="s">
        <v>1</v>
      </c>
      <c r="C290" s="3">
        <v>3.4</v>
      </c>
      <c r="D290" s="2">
        <v>7.7175000000000002</v>
      </c>
      <c r="E290" s="2">
        <f>TabelaMucambo[[#This Row],[Qtde]]*TabelaMucambo[[#This Row],[Vl. Unitário]]</f>
        <v>26.2395</v>
      </c>
      <c r="F290" s="7" t="str">
        <f>VLOOKUP(TabelaMucambo[[#This Row],[Código+Produto]],Base!A:C,3,0)</f>
        <v>ketchup mp</v>
      </c>
      <c r="G290" s="8" t="str">
        <f>VLOOKUP(A290,Base!A:D,4,0)</f>
        <v>SECOS E MERCEARIA</v>
      </c>
    </row>
    <row r="291" spans="1:7" x14ac:dyDescent="0.25">
      <c r="A291" s="1" t="s">
        <v>1247</v>
      </c>
      <c r="B291" s="1" t="s">
        <v>1248</v>
      </c>
      <c r="C291" s="3">
        <v>10</v>
      </c>
      <c r="D291" s="2">
        <v>3.58</v>
      </c>
      <c r="E291" s="2">
        <f>TabelaMucambo[[#This Row],[Qtde]]*TabelaMucambo[[#This Row],[Vl. Unitário]]</f>
        <v>35.799999999999997</v>
      </c>
      <c r="F291" s="7" t="str">
        <f>VLOOKUP(TabelaMucambo[[#This Row],[Código+Produto]],Base!A:C,3,0)</f>
        <v>leite de coco mp</v>
      </c>
      <c r="G291" s="8" t="str">
        <f>VLOOKUP(A291,Base!A:D,4,0)</f>
        <v>SECOS E MERCEARIA</v>
      </c>
    </row>
    <row r="292" spans="1:7" x14ac:dyDescent="0.25">
      <c r="A292" s="1" t="s">
        <v>42</v>
      </c>
      <c r="B292" s="1" t="s">
        <v>1</v>
      </c>
      <c r="C292" s="3">
        <v>5.7</v>
      </c>
      <c r="D292" s="2">
        <v>7.4749999999999996</v>
      </c>
      <c r="E292" s="2">
        <f>TabelaMucambo[[#This Row],[Qtde]]*TabelaMucambo[[#This Row],[Vl. Unitário]]</f>
        <v>42.607500000000002</v>
      </c>
      <c r="F292" s="7" t="str">
        <f>VLOOKUP(TabelaMucambo[[#This Row],[Código+Produto]],Base!A:C,3,0)</f>
        <v>macarrao espaguete mp</v>
      </c>
      <c r="G292" s="8" t="str">
        <f>VLOOKUP(A292,Base!A:D,4,0)</f>
        <v>SECOS E MERCEARIA</v>
      </c>
    </row>
    <row r="293" spans="1:7" x14ac:dyDescent="0.25">
      <c r="A293" s="1" t="s">
        <v>42</v>
      </c>
      <c r="B293" s="1" t="s">
        <v>43</v>
      </c>
      <c r="C293" s="3">
        <v>14</v>
      </c>
      <c r="D293" s="2">
        <v>2.99</v>
      </c>
      <c r="E293" s="2">
        <f>TabelaMucambo[[#This Row],[Qtde]]*TabelaMucambo[[#This Row],[Vl. Unitário]]</f>
        <v>41.86</v>
      </c>
      <c r="F293" s="7" t="str">
        <f>VLOOKUP(TabelaMucambo[[#This Row],[Código+Produto]],Base!A:C,3,0)</f>
        <v>macarrao espaguete mp</v>
      </c>
      <c r="G293" s="8" t="str">
        <f>VLOOKUP(A293,Base!A:D,4,0)</f>
        <v>SECOS E MERCEARIA</v>
      </c>
    </row>
    <row r="294" spans="1:7" x14ac:dyDescent="0.25">
      <c r="A294" s="1" t="s">
        <v>42</v>
      </c>
      <c r="B294" s="1" t="s">
        <v>43</v>
      </c>
      <c r="C294" s="3">
        <v>14</v>
      </c>
      <c r="D294" s="2">
        <v>2.99</v>
      </c>
      <c r="E294" s="2">
        <f>TabelaMucambo[[#This Row],[Qtde]]*TabelaMucambo[[#This Row],[Vl. Unitário]]</f>
        <v>41.86</v>
      </c>
      <c r="F294" s="7" t="str">
        <f>VLOOKUP(TabelaMucambo[[#This Row],[Código+Produto]],Base!A:C,3,0)</f>
        <v>macarrao espaguete mp</v>
      </c>
      <c r="G294" s="8" t="str">
        <f>VLOOKUP(A294,Base!A:D,4,0)</f>
        <v>SECOS E MERCEARIA</v>
      </c>
    </row>
    <row r="295" spans="1:7" x14ac:dyDescent="0.25">
      <c r="A295" s="1" t="s">
        <v>39</v>
      </c>
      <c r="B295" s="1" t="s">
        <v>1</v>
      </c>
      <c r="C295" s="3">
        <v>16.8</v>
      </c>
      <c r="D295" s="2">
        <v>10.6678</v>
      </c>
      <c r="E295" s="2">
        <f>TabelaMucambo[[#This Row],[Qtde]]*TabelaMucambo[[#This Row],[Vl. Unitário]]</f>
        <v>179.21904000000001</v>
      </c>
      <c r="F295" s="7" t="str">
        <f>VLOOKUP(TabelaMucambo[[#This Row],[Código+Produto]],Base!A:C,3,0)</f>
        <v>maionese mp</v>
      </c>
      <c r="G295" s="8" t="str">
        <f>VLOOKUP(A295,Base!A:D,4,0)</f>
        <v>SECOS E MERCEARIA</v>
      </c>
    </row>
    <row r="296" spans="1:7" x14ac:dyDescent="0.25">
      <c r="A296" s="1" t="s">
        <v>39</v>
      </c>
      <c r="B296" s="1" t="s">
        <v>1</v>
      </c>
      <c r="C296" s="3">
        <v>16.8</v>
      </c>
      <c r="D296" s="2">
        <v>10.6678</v>
      </c>
      <c r="E296" s="2">
        <f>TabelaMucambo[[#This Row],[Qtde]]*TabelaMucambo[[#This Row],[Vl. Unitário]]</f>
        <v>179.21904000000001</v>
      </c>
      <c r="F296" s="7" t="str">
        <f>VLOOKUP(TabelaMucambo[[#This Row],[Código+Produto]],Base!A:C,3,0)</f>
        <v>maionese mp</v>
      </c>
      <c r="G296" s="8" t="str">
        <f>VLOOKUP(A296,Base!A:D,4,0)</f>
        <v>SECOS E MERCEARIA</v>
      </c>
    </row>
    <row r="297" spans="1:7" x14ac:dyDescent="0.25">
      <c r="A297" s="1" t="s">
        <v>39</v>
      </c>
      <c r="B297" s="1" t="s">
        <v>1</v>
      </c>
      <c r="C297" s="3">
        <v>16.8</v>
      </c>
      <c r="D297" s="2">
        <v>10.774699999999999</v>
      </c>
      <c r="E297" s="2">
        <f>TabelaMucambo[[#This Row],[Qtde]]*TabelaMucambo[[#This Row],[Vl. Unitário]]</f>
        <v>181.01496</v>
      </c>
      <c r="F297" s="7" t="str">
        <f>VLOOKUP(TabelaMucambo[[#This Row],[Código+Produto]],Base!A:C,3,0)</f>
        <v>maionese mp</v>
      </c>
      <c r="G297" s="8" t="str">
        <f>VLOOKUP(A297,Base!A:D,4,0)</f>
        <v>SECOS E MERCEARIA</v>
      </c>
    </row>
    <row r="298" spans="1:7" x14ac:dyDescent="0.25">
      <c r="A298" s="1" t="s">
        <v>39</v>
      </c>
      <c r="B298" s="1" t="s">
        <v>1</v>
      </c>
      <c r="C298" s="3">
        <v>16.8</v>
      </c>
      <c r="D298" s="2">
        <v>10.7775</v>
      </c>
      <c r="E298" s="2">
        <f>TabelaMucambo[[#This Row],[Qtde]]*TabelaMucambo[[#This Row],[Vl. Unitário]]</f>
        <v>181.06200000000001</v>
      </c>
      <c r="F298" s="7" t="str">
        <f>VLOOKUP(TabelaMucambo[[#This Row],[Código+Produto]],Base!A:C,3,0)</f>
        <v>maionese mp</v>
      </c>
      <c r="G298" s="8" t="str">
        <f>VLOOKUP(A298,Base!A:D,4,0)</f>
        <v>SECOS E MERCEARIA</v>
      </c>
    </row>
    <row r="299" spans="1:7" x14ac:dyDescent="0.25">
      <c r="A299" s="1" t="s">
        <v>39</v>
      </c>
      <c r="B299" s="1" t="s">
        <v>1</v>
      </c>
      <c r="C299" s="3">
        <v>20.25</v>
      </c>
      <c r="D299" s="2">
        <v>10.774699999999999</v>
      </c>
      <c r="E299" s="2">
        <f>TabelaMucambo[[#This Row],[Qtde]]*TabelaMucambo[[#This Row],[Vl. Unitário]]</f>
        <v>218.18767499999998</v>
      </c>
      <c r="F299" s="7" t="str">
        <f>VLOOKUP(TabelaMucambo[[#This Row],[Código+Produto]],Base!A:C,3,0)</f>
        <v>maionese mp</v>
      </c>
      <c r="G299" s="8" t="str">
        <f>VLOOKUP(A299,Base!A:D,4,0)</f>
        <v>SECOS E MERCEARIA</v>
      </c>
    </row>
    <row r="300" spans="1:7" x14ac:dyDescent="0.25">
      <c r="A300" s="1" t="s">
        <v>39</v>
      </c>
      <c r="B300" s="1" t="s">
        <v>1</v>
      </c>
      <c r="C300" s="3">
        <v>16.8</v>
      </c>
      <c r="D300" s="2">
        <v>10.719200000000001</v>
      </c>
      <c r="E300" s="2">
        <f>TabelaMucambo[[#This Row],[Qtde]]*TabelaMucambo[[#This Row],[Vl. Unitário]]</f>
        <v>180.08256000000003</v>
      </c>
      <c r="F300" s="7" t="str">
        <f>VLOOKUP(TabelaMucambo[[#This Row],[Código+Produto]],Base!A:C,3,0)</f>
        <v>maionese mp</v>
      </c>
      <c r="G300" s="8" t="str">
        <f>VLOOKUP(A300,Base!A:D,4,0)</f>
        <v>SECOS E MERCEARIA</v>
      </c>
    </row>
    <row r="301" spans="1:7" x14ac:dyDescent="0.25">
      <c r="A301" s="1" t="s">
        <v>44</v>
      </c>
      <c r="B301" s="1" t="s">
        <v>10</v>
      </c>
      <c r="C301" s="3">
        <v>12</v>
      </c>
      <c r="D301" s="2">
        <v>1.46</v>
      </c>
      <c r="E301" s="2">
        <f>TabelaMucambo[[#This Row],[Qtde]]*TabelaMucambo[[#This Row],[Vl. Unitário]]</f>
        <v>17.52</v>
      </c>
      <c r="F301" s="7" t="str">
        <f>VLOOKUP(TabelaMucambo[[#This Row],[Código+Produto]],Base!A:C,3,0)</f>
        <v>vinagre mp</v>
      </c>
      <c r="G301" s="8" t="str">
        <f>VLOOKUP(A301,Base!A:D,4,0)</f>
        <v>SECOS E MERCEARIA</v>
      </c>
    </row>
    <row r="302" spans="1:7" x14ac:dyDescent="0.25">
      <c r="A302" s="1" t="s">
        <v>44</v>
      </c>
      <c r="B302" s="1" t="s">
        <v>10</v>
      </c>
      <c r="C302" s="3">
        <v>3</v>
      </c>
      <c r="D302" s="2">
        <v>1.46</v>
      </c>
      <c r="E302" s="2">
        <f>TabelaMucambo[[#This Row],[Qtde]]*TabelaMucambo[[#This Row],[Vl. Unitário]]</f>
        <v>4.38</v>
      </c>
      <c r="F302" s="7" t="str">
        <f>VLOOKUP(TabelaMucambo[[#This Row],[Código+Produto]],Base!A:C,3,0)</f>
        <v>vinagre mp</v>
      </c>
      <c r="G302" s="8" t="str">
        <f>VLOOKUP(A302,Base!A:D,4,0)</f>
        <v>SECOS E MERCEARIA</v>
      </c>
    </row>
    <row r="303" spans="1:7" x14ac:dyDescent="0.25">
      <c r="A303" s="1" t="s">
        <v>44</v>
      </c>
      <c r="B303" s="1" t="s">
        <v>10</v>
      </c>
      <c r="C303" s="3">
        <v>12</v>
      </c>
      <c r="D303" s="2">
        <v>1.46</v>
      </c>
      <c r="E303" s="2">
        <f>TabelaMucambo[[#This Row],[Qtde]]*TabelaMucambo[[#This Row],[Vl. Unitário]]</f>
        <v>17.52</v>
      </c>
      <c r="F303" s="40" t="str">
        <f>VLOOKUP(TabelaMucambo[[#This Row],[Código+Produto]],Base!A:C,3,0)</f>
        <v>vinagre mp</v>
      </c>
      <c r="G303" s="8" t="str">
        <f>VLOOKUP(A303,Base!A:D,4,0)</f>
        <v>SECOS E MERCEARIA</v>
      </c>
    </row>
    <row r="304" spans="1:7" x14ac:dyDescent="0.25">
      <c r="A304" s="1" t="s">
        <v>47</v>
      </c>
      <c r="B304" s="1" t="s">
        <v>1</v>
      </c>
      <c r="C304" s="3">
        <v>5.55</v>
      </c>
      <c r="D304" s="2">
        <v>23.151399999999999</v>
      </c>
      <c r="E304" s="2">
        <f>TabelaMucambo[[#This Row],[Qtde]]*TabelaMucambo[[#This Row],[Vl. Unitário]]</f>
        <v>128.49026999999998</v>
      </c>
      <c r="F304" s="7" t="str">
        <f>VLOOKUP(TabelaMucambo[[#This Row],[Código+Produto]],Base!A:C,3,0)</f>
        <v>bacon mp</v>
      </c>
      <c r="G304" s="8" t="str">
        <f>VLOOKUP(A304,Base!A:D,4,0)</f>
        <v>SUINOS E DERIVADOS</v>
      </c>
    </row>
    <row r="305" spans="1:7" x14ac:dyDescent="0.25">
      <c r="A305" s="1" t="s">
        <v>47</v>
      </c>
      <c r="B305" s="1" t="s">
        <v>1</v>
      </c>
      <c r="C305" s="3">
        <v>4</v>
      </c>
      <c r="D305" s="2">
        <v>24.191400000000002</v>
      </c>
      <c r="E305" s="2">
        <f>TabelaMucambo[[#This Row],[Qtde]]*TabelaMucambo[[#This Row],[Vl. Unitário]]</f>
        <v>96.765600000000006</v>
      </c>
      <c r="F305" s="7" t="str">
        <f>VLOOKUP(TabelaMucambo[[#This Row],[Código+Produto]],Base!A:C,3,0)</f>
        <v>bacon mp</v>
      </c>
      <c r="G305" s="8" t="str">
        <f>VLOOKUP(A305,Base!A:D,4,0)</f>
        <v>SUINOS E DERIVADOS</v>
      </c>
    </row>
    <row r="306" spans="1:7" x14ac:dyDescent="0.25">
      <c r="A306" s="1" t="s">
        <v>47</v>
      </c>
      <c r="B306" s="1" t="s">
        <v>1</v>
      </c>
      <c r="C306" s="3">
        <v>3.7</v>
      </c>
      <c r="D306" s="2">
        <v>24.0364</v>
      </c>
      <c r="E306" s="2">
        <f>TabelaMucambo[[#This Row],[Qtde]]*TabelaMucambo[[#This Row],[Vl. Unitário]]</f>
        <v>88.93468</v>
      </c>
      <c r="F306" s="7" t="str">
        <f>VLOOKUP(TabelaMucambo[[#This Row],[Código+Produto]],Base!A:C,3,0)</f>
        <v>bacon mp</v>
      </c>
      <c r="G306" s="8" t="str">
        <f>VLOOKUP(A306,Base!A:D,4,0)</f>
        <v>SUINOS E DERIVADOS</v>
      </c>
    </row>
    <row r="307" spans="1:7" x14ac:dyDescent="0.25">
      <c r="A307" s="1" t="s">
        <v>47</v>
      </c>
      <c r="B307" s="1" t="s">
        <v>1</v>
      </c>
      <c r="C307" s="3">
        <v>3.85</v>
      </c>
      <c r="D307" s="2">
        <v>24.0364</v>
      </c>
      <c r="E307" s="2">
        <f>TabelaMucambo[[#This Row],[Qtde]]*TabelaMucambo[[#This Row],[Vl. Unitário]]</f>
        <v>92.540140000000008</v>
      </c>
      <c r="F307" s="7" t="str">
        <f>VLOOKUP(TabelaMucambo[[#This Row],[Código+Produto]],Base!A:C,3,0)</f>
        <v>bacon mp</v>
      </c>
      <c r="G307" s="8" t="str">
        <f>VLOOKUP(A307,Base!A:D,4,0)</f>
        <v>SUINOS E DERIVADOS</v>
      </c>
    </row>
    <row r="308" spans="1:7" x14ac:dyDescent="0.25">
      <c r="A308" s="1" t="s">
        <v>47</v>
      </c>
      <c r="B308" s="1" t="s">
        <v>1</v>
      </c>
      <c r="C308" s="3">
        <v>4.75</v>
      </c>
      <c r="D308" s="2">
        <v>24.0364</v>
      </c>
      <c r="E308" s="2">
        <f>TabelaMucambo[[#This Row],[Qtde]]*TabelaMucambo[[#This Row],[Vl. Unitário]]</f>
        <v>114.1729</v>
      </c>
      <c r="F308" s="7" t="str">
        <f>VLOOKUP(TabelaMucambo[[#This Row],[Código+Produto]],Base!A:C,3,0)</f>
        <v>bacon mp</v>
      </c>
      <c r="G308" s="8" t="str">
        <f>VLOOKUP(A308,Base!A:D,4,0)</f>
        <v>SUINOS E DERIVADOS</v>
      </c>
    </row>
    <row r="309" spans="1:7" x14ac:dyDescent="0.25">
      <c r="A309" s="1" t="s">
        <v>47</v>
      </c>
      <c r="B309" s="1" t="s">
        <v>1</v>
      </c>
      <c r="C309" s="3">
        <v>5.35</v>
      </c>
      <c r="D309" s="2">
        <v>23.258500000000002</v>
      </c>
      <c r="E309" s="2">
        <f>TabelaMucambo[[#This Row],[Qtde]]*TabelaMucambo[[#This Row],[Vl. Unitário]]</f>
        <v>124.432975</v>
      </c>
      <c r="F309" s="7" t="str">
        <f>VLOOKUP(TabelaMucambo[[#This Row],[Código+Produto]],Base!A:C,3,0)</f>
        <v>bacon mp</v>
      </c>
      <c r="G309" s="8" t="str">
        <f>VLOOKUP(A309,Base!A:D,4,0)</f>
        <v>SUINOS E DERIVADOS</v>
      </c>
    </row>
    <row r="310" spans="1:7" x14ac:dyDescent="0.25">
      <c r="A310" s="1" t="s">
        <v>47</v>
      </c>
      <c r="B310" s="1" t="s">
        <v>1</v>
      </c>
      <c r="C310" s="3">
        <v>5.5179999999999998</v>
      </c>
      <c r="D310" s="2">
        <v>22.97</v>
      </c>
      <c r="E310" s="2">
        <f>TabelaMucambo[[#This Row],[Qtde]]*TabelaMucambo[[#This Row],[Vl. Unitário]]</f>
        <v>126.74845999999999</v>
      </c>
      <c r="F310" s="40" t="str">
        <f>VLOOKUP(TabelaMucambo[[#This Row],[Código+Produto]],Base!A:C,3,0)</f>
        <v>bacon mp</v>
      </c>
      <c r="G310" s="8" t="str">
        <f>VLOOKUP(A310,Base!A:D,4,0)</f>
        <v>SUINOS E DERIVADOS</v>
      </c>
    </row>
    <row r="311" spans="1:7" x14ac:dyDescent="0.25">
      <c r="A311" s="1" t="s">
        <v>16</v>
      </c>
      <c r="B311" s="1" t="s">
        <v>1</v>
      </c>
      <c r="C311" s="3">
        <v>8.6999999999999993</v>
      </c>
      <c r="D311" s="2">
        <v>16.5701</v>
      </c>
      <c r="E311" s="2">
        <f>TabelaMucambo[[#This Row],[Qtde]]*TabelaMucambo[[#This Row],[Vl. Unitário]]</f>
        <v>144.15986999999998</v>
      </c>
      <c r="F311" s="7" t="str">
        <f>VLOOKUP(TabelaMucambo[[#This Row],[Código+Produto]],Base!A:C,3,0)</f>
        <v>carne suina mp</v>
      </c>
      <c r="G311" s="8" t="str">
        <f>VLOOKUP(A311,Base!A:D,4,0)</f>
        <v>SUINOS E DERIVADOS</v>
      </c>
    </row>
    <row r="312" spans="1:7" x14ac:dyDescent="0.25">
      <c r="A312" s="1" t="s">
        <v>16</v>
      </c>
      <c r="B312" s="1" t="s">
        <v>1</v>
      </c>
      <c r="C312" s="3">
        <v>6</v>
      </c>
      <c r="D312" s="2">
        <v>16.5701</v>
      </c>
      <c r="E312" s="2">
        <f>TabelaMucambo[[#This Row],[Qtde]]*TabelaMucambo[[#This Row],[Vl. Unitário]]</f>
        <v>99.420600000000007</v>
      </c>
      <c r="F312" s="7" t="str">
        <f>VLOOKUP(TabelaMucambo[[#This Row],[Código+Produto]],Base!A:C,3,0)</f>
        <v>carne suina mp</v>
      </c>
      <c r="G312" s="8" t="str">
        <f>VLOOKUP(A312,Base!A:D,4,0)</f>
        <v>SUINOS E DERIVADOS</v>
      </c>
    </row>
    <row r="313" spans="1:7" x14ac:dyDescent="0.25">
      <c r="A313" s="1" t="s">
        <v>16</v>
      </c>
      <c r="B313" s="1" t="s">
        <v>1</v>
      </c>
      <c r="C313" s="3">
        <v>7.9</v>
      </c>
      <c r="D313" s="2">
        <v>16.5701</v>
      </c>
      <c r="E313" s="2">
        <f>TabelaMucambo[[#This Row],[Qtde]]*TabelaMucambo[[#This Row],[Vl. Unitário]]</f>
        <v>130.90379000000001</v>
      </c>
      <c r="F313" s="7" t="str">
        <f>VLOOKUP(TabelaMucambo[[#This Row],[Código+Produto]],Base!A:C,3,0)</f>
        <v>carne suina mp</v>
      </c>
      <c r="G313" s="8" t="str">
        <f>VLOOKUP(A313,Base!A:D,4,0)</f>
        <v>SUINOS E DERIVADOS</v>
      </c>
    </row>
    <row r="314" spans="1:7" x14ac:dyDescent="0.25">
      <c r="A314" s="1" t="s">
        <v>16</v>
      </c>
      <c r="B314" s="1" t="s">
        <v>1</v>
      </c>
      <c r="C314" s="3">
        <v>8.65</v>
      </c>
      <c r="D314" s="2">
        <v>16.5701</v>
      </c>
      <c r="E314" s="2">
        <f>TabelaMucambo[[#This Row],[Qtde]]*TabelaMucambo[[#This Row],[Vl. Unitário]]</f>
        <v>143.33136500000001</v>
      </c>
      <c r="F314" s="7" t="str">
        <f>VLOOKUP(TabelaMucambo[[#This Row],[Código+Produto]],Base!A:C,3,0)</f>
        <v>carne suina mp</v>
      </c>
      <c r="G314" s="8" t="str">
        <f>VLOOKUP(A314,Base!A:D,4,0)</f>
        <v>SUINOS E DERIVADOS</v>
      </c>
    </row>
    <row r="315" spans="1:7" x14ac:dyDescent="0.25">
      <c r="A315" s="1" t="s">
        <v>16</v>
      </c>
      <c r="B315" s="1" t="s">
        <v>1</v>
      </c>
      <c r="C315" s="3">
        <v>8.35</v>
      </c>
      <c r="D315" s="2">
        <v>16.5701</v>
      </c>
      <c r="E315" s="2">
        <f>TabelaMucambo[[#This Row],[Qtde]]*TabelaMucambo[[#This Row],[Vl. Unitário]]</f>
        <v>138.36033499999999</v>
      </c>
      <c r="F315" s="7" t="str">
        <f>VLOOKUP(TabelaMucambo[[#This Row],[Código+Produto]],Base!A:C,3,0)</f>
        <v>carne suina mp</v>
      </c>
      <c r="G315" s="8" t="str">
        <f>VLOOKUP(A315,Base!A:D,4,0)</f>
        <v>SUINOS E DERIVADOS</v>
      </c>
    </row>
    <row r="316" spans="1:7" x14ac:dyDescent="0.25">
      <c r="A316" s="1" t="s">
        <v>16</v>
      </c>
      <c r="B316" s="1" t="s">
        <v>1</v>
      </c>
      <c r="C316" s="3">
        <v>5.95</v>
      </c>
      <c r="D316" s="2">
        <v>16.5701</v>
      </c>
      <c r="E316" s="2">
        <f>TabelaMucambo[[#This Row],[Qtde]]*TabelaMucambo[[#This Row],[Vl. Unitário]]</f>
        <v>98.592095</v>
      </c>
      <c r="F316" s="7" t="str">
        <f>VLOOKUP(TabelaMucambo[[#This Row],[Código+Produto]],Base!A:C,3,0)</f>
        <v>carne suina mp</v>
      </c>
      <c r="G316" s="8" t="str">
        <f>VLOOKUP(A316,Base!A:D,4,0)</f>
        <v>SUINOS E DERIVADOS</v>
      </c>
    </row>
    <row r="317" spans="1:7" x14ac:dyDescent="0.25">
      <c r="A317" s="1" t="s">
        <v>16</v>
      </c>
      <c r="B317" s="1" t="s">
        <v>1</v>
      </c>
      <c r="C317" s="3">
        <v>6.15</v>
      </c>
      <c r="D317" s="2">
        <v>16.5701</v>
      </c>
      <c r="E317" s="2">
        <f>TabelaMucambo[[#This Row],[Qtde]]*TabelaMucambo[[#This Row],[Vl. Unitário]]</f>
        <v>101.906115</v>
      </c>
      <c r="F317" s="7" t="str">
        <f>VLOOKUP(TabelaMucambo[[#This Row],[Código+Produto]],Base!A:C,3,0)</f>
        <v>carne suina mp</v>
      </c>
      <c r="G317" s="8" t="str">
        <f>VLOOKUP(A317,Base!A:D,4,0)</f>
        <v>SUINOS E DERIVADOS</v>
      </c>
    </row>
    <row r="318" spans="1:7" x14ac:dyDescent="0.25">
      <c r="A318" s="1" t="s">
        <v>16</v>
      </c>
      <c r="B318" s="1" t="s">
        <v>1</v>
      </c>
      <c r="C318" s="3">
        <v>16.3</v>
      </c>
      <c r="D318" s="2">
        <v>16.5701</v>
      </c>
      <c r="E318" s="2">
        <f>TabelaMucambo[[#This Row],[Qtde]]*TabelaMucambo[[#This Row],[Vl. Unitário]]</f>
        <v>270.09262999999999</v>
      </c>
      <c r="F318" s="7" t="str">
        <f>VLOOKUP(TabelaMucambo[[#This Row],[Código+Produto]],Base!A:C,3,0)</f>
        <v>carne suina mp</v>
      </c>
      <c r="G318" s="8" t="str">
        <f>VLOOKUP(A318,Base!A:D,4,0)</f>
        <v>SUINOS E DERIVADOS</v>
      </c>
    </row>
    <row r="319" spans="1:7" x14ac:dyDescent="0.25">
      <c r="A319" s="1" t="s">
        <v>16</v>
      </c>
      <c r="B319" s="1" t="s">
        <v>1</v>
      </c>
      <c r="C319" s="3">
        <v>26.8</v>
      </c>
      <c r="D319" s="2">
        <v>16.5701</v>
      </c>
      <c r="E319" s="2">
        <f>TabelaMucambo[[#This Row],[Qtde]]*TabelaMucambo[[#This Row],[Vl. Unitário]]</f>
        <v>444.07868000000002</v>
      </c>
      <c r="F319" s="7" t="str">
        <f>VLOOKUP(TabelaMucambo[[#This Row],[Código+Produto]],Base!A:C,3,0)</f>
        <v>carne suina mp</v>
      </c>
      <c r="G319" s="8" t="str">
        <f>VLOOKUP(A319,Base!A:D,4,0)</f>
        <v>SUINOS E DERIVADOS</v>
      </c>
    </row>
    <row r="320" spans="1:7" x14ac:dyDescent="0.25">
      <c r="A320" s="1" t="s">
        <v>16</v>
      </c>
      <c r="B320" s="1" t="s">
        <v>1</v>
      </c>
      <c r="C320" s="3">
        <v>8.35</v>
      </c>
      <c r="D320" s="2">
        <v>16.5701</v>
      </c>
      <c r="E320" s="2">
        <f>TabelaMucambo[[#This Row],[Qtde]]*TabelaMucambo[[#This Row],[Vl. Unitário]]</f>
        <v>138.36033499999999</v>
      </c>
      <c r="F320" s="7" t="str">
        <f>VLOOKUP(TabelaMucambo[[#This Row],[Código+Produto]],Base!A:C,3,0)</f>
        <v>carne suina mp</v>
      </c>
      <c r="G320" s="8" t="str">
        <f>VLOOKUP(A320,Base!A:D,4,0)</f>
        <v>SUINOS E DERIVADOS</v>
      </c>
    </row>
    <row r="321" spans="1:7" x14ac:dyDescent="0.25">
      <c r="A321" s="1" t="s">
        <v>16</v>
      </c>
      <c r="B321" s="1" t="s">
        <v>1</v>
      </c>
      <c r="C321" s="3">
        <v>6.75</v>
      </c>
      <c r="D321" s="2">
        <v>16.5701</v>
      </c>
      <c r="E321" s="2">
        <f>TabelaMucambo[[#This Row],[Qtde]]*TabelaMucambo[[#This Row],[Vl. Unitário]]</f>
        <v>111.848175</v>
      </c>
      <c r="F321" s="7" t="str">
        <f>VLOOKUP(TabelaMucambo[[#This Row],[Código+Produto]],Base!A:C,3,0)</f>
        <v>carne suina mp</v>
      </c>
      <c r="G321" s="8" t="str">
        <f>VLOOKUP(A321,Base!A:D,4,0)</f>
        <v>SUINOS E DERIVADOS</v>
      </c>
    </row>
    <row r="322" spans="1:7" x14ac:dyDescent="0.25">
      <c r="A322" s="1" t="s">
        <v>16</v>
      </c>
      <c r="B322" s="1" t="s">
        <v>1</v>
      </c>
      <c r="C322" s="3">
        <v>4.4000000000000004</v>
      </c>
      <c r="D322" s="2">
        <v>16.5701</v>
      </c>
      <c r="E322" s="2">
        <f>TabelaMucambo[[#This Row],[Qtde]]*TabelaMucambo[[#This Row],[Vl. Unitário]]</f>
        <v>72.908440000000013</v>
      </c>
      <c r="F322" s="7" t="str">
        <f>VLOOKUP(TabelaMucambo[[#This Row],[Código+Produto]],Base!A:C,3,0)</f>
        <v>carne suina mp</v>
      </c>
      <c r="G322" s="8" t="str">
        <f>VLOOKUP(A322,Base!A:D,4,0)</f>
        <v>SUINOS E DERIVADOS</v>
      </c>
    </row>
    <row r="323" spans="1:7" x14ac:dyDescent="0.25">
      <c r="A323" s="1" t="s">
        <v>16</v>
      </c>
      <c r="B323" s="1" t="s">
        <v>1</v>
      </c>
      <c r="C323" s="3">
        <v>9.9</v>
      </c>
      <c r="D323" s="2">
        <v>16.5701</v>
      </c>
      <c r="E323" s="2">
        <f>TabelaMucambo[[#This Row],[Qtde]]*TabelaMucambo[[#This Row],[Vl. Unitário]]</f>
        <v>164.04399000000001</v>
      </c>
      <c r="F323" s="7" t="str">
        <f>VLOOKUP(TabelaMucambo[[#This Row],[Código+Produto]],Base!A:C,3,0)</f>
        <v>carne suina mp</v>
      </c>
      <c r="G323" s="8" t="str">
        <f>VLOOKUP(A323,Base!A:D,4,0)</f>
        <v>SUINOS E DERIVADOS</v>
      </c>
    </row>
    <row r="324" spans="1:7" x14ac:dyDescent="0.25">
      <c r="A324" s="1" t="s">
        <v>16</v>
      </c>
      <c r="B324" s="1" t="s">
        <v>1</v>
      </c>
      <c r="C324" s="3">
        <v>5.4</v>
      </c>
      <c r="D324" s="2">
        <v>16.5701</v>
      </c>
      <c r="E324" s="2">
        <f>TabelaMucambo[[#This Row],[Qtde]]*TabelaMucambo[[#This Row],[Vl. Unitário]]</f>
        <v>89.47854000000001</v>
      </c>
      <c r="F324" s="7" t="str">
        <f>VLOOKUP(TabelaMucambo[[#This Row],[Código+Produto]],Base!A:C,3,0)</f>
        <v>carne suina mp</v>
      </c>
      <c r="G324" s="8" t="str">
        <f>VLOOKUP(A324,Base!A:D,4,0)</f>
        <v>SUINOS E DERIVADOS</v>
      </c>
    </row>
    <row r="325" spans="1:7" x14ac:dyDescent="0.25">
      <c r="A325" s="1" t="s">
        <v>16</v>
      </c>
      <c r="B325" s="1" t="s">
        <v>1</v>
      </c>
      <c r="C325" s="3">
        <v>5.2</v>
      </c>
      <c r="D325" s="2">
        <v>16.5701</v>
      </c>
      <c r="E325" s="2">
        <f>TabelaMucambo[[#This Row],[Qtde]]*TabelaMucambo[[#This Row],[Vl. Unitário]]</f>
        <v>86.16452000000001</v>
      </c>
      <c r="F325" s="7" t="str">
        <f>VLOOKUP(TabelaMucambo[[#This Row],[Código+Produto]],Base!A:C,3,0)</f>
        <v>carne suina mp</v>
      </c>
      <c r="G325" s="8" t="str">
        <f>VLOOKUP(A325,Base!A:D,4,0)</f>
        <v>SUINOS E DERIVADOS</v>
      </c>
    </row>
    <row r="326" spans="1:7" x14ac:dyDescent="0.25">
      <c r="A326" s="1" t="s">
        <v>16</v>
      </c>
      <c r="B326" s="1" t="s">
        <v>1</v>
      </c>
      <c r="C326" s="3">
        <v>9.65</v>
      </c>
      <c r="D326" s="2">
        <v>16.5701</v>
      </c>
      <c r="E326" s="2">
        <f>TabelaMucambo[[#This Row],[Qtde]]*TabelaMucambo[[#This Row],[Vl. Unitário]]</f>
        <v>159.901465</v>
      </c>
      <c r="F326" s="7" t="str">
        <f>VLOOKUP(TabelaMucambo[[#This Row],[Código+Produto]],Base!A:C,3,0)</f>
        <v>carne suina mp</v>
      </c>
      <c r="G326" s="8" t="str">
        <f>VLOOKUP(A326,Base!A:D,4,0)</f>
        <v>SUINOS E DERIVADOS</v>
      </c>
    </row>
    <row r="327" spans="1:7" x14ac:dyDescent="0.25">
      <c r="A327" s="1" t="s">
        <v>16</v>
      </c>
      <c r="B327" s="1" t="s">
        <v>1</v>
      </c>
      <c r="C327" s="3">
        <v>6.6</v>
      </c>
      <c r="D327" s="2">
        <v>16.5701</v>
      </c>
      <c r="E327" s="2">
        <f>TabelaMucambo[[#This Row],[Qtde]]*TabelaMucambo[[#This Row],[Vl. Unitário]]</f>
        <v>109.36265999999999</v>
      </c>
      <c r="F327" s="7" t="str">
        <f>VLOOKUP(TabelaMucambo[[#This Row],[Código+Produto]],Base!A:C,3,0)</f>
        <v>carne suina mp</v>
      </c>
      <c r="G327" s="8" t="str">
        <f>VLOOKUP(A327,Base!A:D,4,0)</f>
        <v>SUINOS E DERIVADOS</v>
      </c>
    </row>
    <row r="328" spans="1:7" x14ac:dyDescent="0.25">
      <c r="A328" s="1" t="s">
        <v>16</v>
      </c>
      <c r="B328" s="1" t="s">
        <v>1</v>
      </c>
      <c r="C328" s="3">
        <v>8.3000000000000007</v>
      </c>
      <c r="D328" s="2">
        <v>16.5701</v>
      </c>
      <c r="E328" s="2">
        <f>TabelaMucambo[[#This Row],[Qtde]]*TabelaMucambo[[#This Row],[Vl. Unitário]]</f>
        <v>137.53183000000001</v>
      </c>
      <c r="F328" s="7" t="str">
        <f>VLOOKUP(TabelaMucambo[[#This Row],[Código+Produto]],Base!A:C,3,0)</f>
        <v>carne suina mp</v>
      </c>
      <c r="G328" s="8" t="str">
        <f>VLOOKUP(A328,Base!A:D,4,0)</f>
        <v>SUINOS E DERIVADOS</v>
      </c>
    </row>
    <row r="329" spans="1:7" x14ac:dyDescent="0.25">
      <c r="A329" s="1" t="s">
        <v>16</v>
      </c>
      <c r="B329" s="1" t="s">
        <v>1</v>
      </c>
      <c r="C329" s="3">
        <v>13.6</v>
      </c>
      <c r="D329" s="2">
        <v>16.5701</v>
      </c>
      <c r="E329" s="2">
        <f>TabelaMucambo[[#This Row],[Qtde]]*TabelaMucambo[[#This Row],[Vl. Unitário]]</f>
        <v>225.35335999999998</v>
      </c>
      <c r="F329" s="7" t="str">
        <f>VLOOKUP(TabelaMucambo[[#This Row],[Código+Produto]],Base!A:C,3,0)</f>
        <v>carne suina mp</v>
      </c>
      <c r="G329" s="8" t="str">
        <f>VLOOKUP(A329,Base!A:D,4,0)</f>
        <v>SUINOS E DERIVADOS</v>
      </c>
    </row>
    <row r="330" spans="1:7" x14ac:dyDescent="0.25">
      <c r="A330" s="1" t="s">
        <v>16</v>
      </c>
      <c r="B330" s="1" t="s">
        <v>1</v>
      </c>
      <c r="C330" s="3">
        <v>6.3</v>
      </c>
      <c r="D330" s="2">
        <v>16.5701</v>
      </c>
      <c r="E330" s="2">
        <f>TabelaMucambo[[#This Row],[Qtde]]*TabelaMucambo[[#This Row],[Vl. Unitário]]</f>
        <v>104.39162999999999</v>
      </c>
      <c r="F330" s="7" t="str">
        <f>VLOOKUP(TabelaMucambo[[#This Row],[Código+Produto]],Base!A:C,3,0)</f>
        <v>carne suina mp</v>
      </c>
      <c r="G330" s="8" t="str">
        <f>VLOOKUP(A330,Base!A:D,4,0)</f>
        <v>SUINOS E DERIVADOS</v>
      </c>
    </row>
    <row r="331" spans="1:7" x14ac:dyDescent="0.25">
      <c r="A331" s="1" t="s">
        <v>16</v>
      </c>
      <c r="B331" s="1" t="s">
        <v>1</v>
      </c>
      <c r="C331" s="3">
        <v>10.35</v>
      </c>
      <c r="D331" s="2">
        <v>16.5701</v>
      </c>
      <c r="E331" s="2">
        <f>TabelaMucambo[[#This Row],[Qtde]]*TabelaMucambo[[#This Row],[Vl. Unitário]]</f>
        <v>171.50053499999999</v>
      </c>
      <c r="F331" s="40" t="str">
        <f>VLOOKUP(TabelaMucambo[[#This Row],[Código+Produto]],Base!A:C,3,0)</f>
        <v>carne suina mp</v>
      </c>
      <c r="G331" s="8" t="str">
        <f>VLOOKUP(A331,Base!A:D,4,0)</f>
        <v>SUINOS E DERIVADOS</v>
      </c>
    </row>
    <row r="332" spans="1:7" x14ac:dyDescent="0.25">
      <c r="A332" s="1" t="s">
        <v>17</v>
      </c>
      <c r="B332" s="1" t="s">
        <v>1</v>
      </c>
      <c r="C332" s="3">
        <v>3.6</v>
      </c>
      <c r="D332" s="2">
        <v>19.8597</v>
      </c>
      <c r="E332" s="2">
        <f>TabelaMucambo[[#This Row],[Qtde]]*TabelaMucambo[[#This Row],[Vl. Unitário]]</f>
        <v>71.494920000000008</v>
      </c>
      <c r="F332" s="7" t="str">
        <f>VLOOKUP(TabelaMucambo[[#This Row],[Código+Produto]],Base!A:C,3,0)</f>
        <v>costela suina mp</v>
      </c>
      <c r="G332" s="8" t="str">
        <f>VLOOKUP(A332,Base!A:D,4,0)</f>
        <v>SUINOS E DERIVADOS</v>
      </c>
    </row>
    <row r="333" spans="1:7" x14ac:dyDescent="0.25">
      <c r="A333" s="1" t="s">
        <v>17</v>
      </c>
      <c r="B333" s="1" t="s">
        <v>1</v>
      </c>
      <c r="C333" s="3">
        <v>4.6500000000000004</v>
      </c>
      <c r="D333" s="2">
        <v>19.510000000000002</v>
      </c>
      <c r="E333" s="2">
        <f>TabelaMucambo[[#This Row],[Qtde]]*TabelaMucambo[[#This Row],[Vl. Unitário]]</f>
        <v>90.72150000000002</v>
      </c>
      <c r="F333" s="7" t="str">
        <f>VLOOKUP(TabelaMucambo[[#This Row],[Código+Produto]],Base!A:C,3,0)</f>
        <v>costela suina mp</v>
      </c>
      <c r="G333" s="8" t="str">
        <f>VLOOKUP(A333,Base!A:D,4,0)</f>
        <v>SUINOS E DERIVADOS</v>
      </c>
    </row>
    <row r="334" spans="1:7" x14ac:dyDescent="0.25">
      <c r="A334" s="1" t="s">
        <v>45</v>
      </c>
      <c r="B334" s="1" t="s">
        <v>1</v>
      </c>
      <c r="C334" s="3">
        <v>2.2000000000000002</v>
      </c>
      <c r="D334" s="2">
        <v>30.122699999999998</v>
      </c>
      <c r="E334" s="2">
        <f>TabelaMucambo[[#This Row],[Qtde]]*TabelaMucambo[[#This Row],[Vl. Unitário]]</f>
        <v>66.269940000000005</v>
      </c>
      <c r="F334" s="7" t="str">
        <f>VLOOKUP(TabelaMucambo[[#This Row],[Código+Produto]],Base!A:C,3,0)</f>
        <v>amaciante de carne mp</v>
      </c>
      <c r="G334" s="8" t="str">
        <f>VLOOKUP(A334,Base!A:D,4,0)</f>
        <v>TEMPEROS E CORANTES</v>
      </c>
    </row>
    <row r="335" spans="1:7" x14ac:dyDescent="0.25">
      <c r="A335" s="1" t="s">
        <v>56</v>
      </c>
      <c r="B335" s="1" t="s">
        <v>1</v>
      </c>
      <c r="C335" s="3">
        <v>1</v>
      </c>
      <c r="D335" s="2">
        <v>44.652000000000001</v>
      </c>
      <c r="E335" s="2">
        <f>TabelaMucambo[[#This Row],[Qtde]]*TabelaMucambo[[#This Row],[Vl. Unitário]]</f>
        <v>44.652000000000001</v>
      </c>
      <c r="F335" s="7" t="str">
        <f>VLOOKUP(TabelaMucambo[[#This Row],[Código+Produto]],Base!A:C,3,0)</f>
        <v>cafe em po mp</v>
      </c>
      <c r="G335" s="8" t="str">
        <f>VLOOKUP(A335,Base!A:D,4,0)</f>
        <v>CAFES</v>
      </c>
    </row>
    <row r="336" spans="1:7" x14ac:dyDescent="0.25">
      <c r="A336" s="1" t="s">
        <v>56</v>
      </c>
      <c r="B336" s="1" t="s">
        <v>1</v>
      </c>
      <c r="C336" s="3">
        <v>1.25</v>
      </c>
      <c r="D336" s="2">
        <v>44.652000000000001</v>
      </c>
      <c r="E336" s="2">
        <f>TabelaMucambo[[#This Row],[Qtde]]*TabelaMucambo[[#This Row],[Vl. Unitário]]</f>
        <v>55.814999999999998</v>
      </c>
      <c r="F336" s="7" t="str">
        <f>VLOOKUP(TabelaMucambo[[#This Row],[Código+Produto]],Base!A:C,3,0)</f>
        <v>cafe em po mp</v>
      </c>
      <c r="G336" s="8" t="str">
        <f>VLOOKUP(A336,Base!A:D,4,0)</f>
        <v>CAFES</v>
      </c>
    </row>
    <row r="337" spans="1:7" x14ac:dyDescent="0.25">
      <c r="A337" s="1" t="s">
        <v>56</v>
      </c>
      <c r="B337" s="1" t="s">
        <v>57</v>
      </c>
      <c r="C337" s="3">
        <v>4</v>
      </c>
      <c r="D337" s="2">
        <v>3.1616</v>
      </c>
      <c r="E337" s="2">
        <f>TabelaMucambo[[#This Row],[Qtde]]*TabelaMucambo[[#This Row],[Vl. Unitário]]</f>
        <v>12.6464</v>
      </c>
      <c r="F337" s="7" t="str">
        <f>VLOOKUP(TabelaMucambo[[#This Row],[Código+Produto]],Base!A:C,3,0)</f>
        <v>cafe em po mp</v>
      </c>
      <c r="G337" s="8" t="str">
        <f>VLOOKUP(A337,Base!A:D,4,0)</f>
        <v>CAFES</v>
      </c>
    </row>
    <row r="338" spans="1:7" x14ac:dyDescent="0.25">
      <c r="A338" s="1" t="s">
        <v>56</v>
      </c>
      <c r="B338" s="1" t="s">
        <v>57</v>
      </c>
      <c r="C338" s="3">
        <v>4</v>
      </c>
      <c r="D338" s="2">
        <v>3.1616</v>
      </c>
      <c r="E338" s="2">
        <f>TabelaMucambo[[#This Row],[Qtde]]*TabelaMucambo[[#This Row],[Vl. Unitário]]</f>
        <v>12.6464</v>
      </c>
      <c r="F338" s="40" t="str">
        <f>VLOOKUP(TabelaMucambo[[#This Row],[Código+Produto]],Base!A:C,3,0)</f>
        <v>cafe em po mp</v>
      </c>
      <c r="G338" s="8" t="str">
        <f>VLOOKUP(A338,Base!A:D,4,0)</f>
        <v>CAFES</v>
      </c>
    </row>
    <row r="339" spans="1:7" x14ac:dyDescent="0.25">
      <c r="A339" s="1" t="s">
        <v>50</v>
      </c>
      <c r="B339" s="1" t="s">
        <v>51</v>
      </c>
      <c r="C339" s="3">
        <v>36</v>
      </c>
      <c r="D339" s="2">
        <v>7.49</v>
      </c>
      <c r="E339" s="2">
        <f>TabelaMucambo[[#This Row],[Qtde]]*TabelaMucambo[[#This Row],[Vl. Unitário]]</f>
        <v>269.64</v>
      </c>
      <c r="F339" s="7" t="str">
        <f>VLOOKUP(TabelaMucambo[[#This Row],[Código+Produto]],Base!A:C,3,0)</f>
        <v>oleo de soja</v>
      </c>
      <c r="G339" s="8" t="str">
        <f>VLOOKUP(A339,Base!A:D,4,0)</f>
        <v>OLEO DE SOJA</v>
      </c>
    </row>
    <row r="340" spans="1:7" x14ac:dyDescent="0.25">
      <c r="A340" s="1" t="s">
        <v>50</v>
      </c>
      <c r="B340" s="1" t="s">
        <v>51</v>
      </c>
      <c r="C340" s="3">
        <v>24</v>
      </c>
      <c r="D340" s="2">
        <v>7.49</v>
      </c>
      <c r="E340" s="2">
        <f>TabelaMucambo[[#This Row],[Qtde]]*TabelaMucambo[[#This Row],[Vl. Unitário]]</f>
        <v>179.76</v>
      </c>
      <c r="F340" s="7" t="str">
        <f>VLOOKUP(TabelaMucambo[[#This Row],[Código+Produto]],Base!A:C,3,0)</f>
        <v>oleo de soja</v>
      </c>
      <c r="G340" s="8" t="str">
        <f>VLOOKUP(A340,Base!A:D,4,0)</f>
        <v>OLEO DE SOJA</v>
      </c>
    </row>
    <row r="341" spans="1:7" x14ac:dyDescent="0.25">
      <c r="A341" s="1" t="s">
        <v>50</v>
      </c>
      <c r="B341" s="1" t="s">
        <v>6</v>
      </c>
      <c r="C341" s="3">
        <v>18</v>
      </c>
      <c r="D341" s="2">
        <v>8.3222000000000005</v>
      </c>
      <c r="E341" s="2">
        <f>TabelaMucambo[[#This Row],[Qtde]]*TabelaMucambo[[#This Row],[Vl. Unitário]]</f>
        <v>149.7996</v>
      </c>
      <c r="F341" s="7" t="str">
        <f>VLOOKUP(TabelaMucambo[[#This Row],[Código+Produto]],Base!A:C,3,0)</f>
        <v>oleo de soja</v>
      </c>
      <c r="G341" s="8" t="str">
        <f>VLOOKUP(A341,Base!A:D,4,0)</f>
        <v>OLEO DE SOJA</v>
      </c>
    </row>
    <row r="342" spans="1:7" x14ac:dyDescent="0.25">
      <c r="A342" s="1" t="s">
        <v>50</v>
      </c>
      <c r="B342" s="1" t="s">
        <v>51</v>
      </c>
      <c r="C342" s="3">
        <v>20</v>
      </c>
      <c r="D342" s="2">
        <v>7.49</v>
      </c>
      <c r="E342" s="2">
        <f>TabelaMucambo[[#This Row],[Qtde]]*TabelaMucambo[[#This Row],[Vl. Unitário]]</f>
        <v>149.80000000000001</v>
      </c>
      <c r="F342" s="7" t="str">
        <f>VLOOKUP(TabelaMucambo[[#This Row],[Código+Produto]],Base!A:C,3,0)</f>
        <v>oleo de soja</v>
      </c>
      <c r="G342" s="8" t="str">
        <f>VLOOKUP(A342,Base!A:D,4,0)</f>
        <v>OLEO DE SOJA</v>
      </c>
    </row>
    <row r="343" spans="1:7" x14ac:dyDescent="0.25">
      <c r="A343" s="1" t="s">
        <v>53</v>
      </c>
      <c r="B343" s="1" t="s">
        <v>1204</v>
      </c>
      <c r="C343" s="3">
        <v>11</v>
      </c>
      <c r="D343" s="2">
        <v>1.39</v>
      </c>
      <c r="E343" s="2">
        <f>TabelaMucambo[[#This Row],[Qtde]]*TabelaMucambo[[#This Row],[Vl. Unitário]]</f>
        <v>15.29</v>
      </c>
      <c r="F343" s="7" t="str">
        <f>VLOOKUP(TabelaMucambo[[#This Row],[Código+Produto]],Base!A:C,3,0)</f>
        <v>guardanapo</v>
      </c>
      <c r="G343" s="8" t="str">
        <f>VLOOKUP(A343,Base!A:D,4,0)</f>
        <v>GUARDANAPOS E PAPEL TOALHA</v>
      </c>
    </row>
    <row r="344" spans="1:7" x14ac:dyDescent="0.25">
      <c r="A344" s="1" t="s">
        <v>41</v>
      </c>
      <c r="B344" s="1" t="s">
        <v>1</v>
      </c>
      <c r="C344" s="3">
        <v>4</v>
      </c>
      <c r="D344" s="2">
        <v>25</v>
      </c>
      <c r="E344" s="2">
        <f>TabelaMucambo[[#This Row],[Qtde]]*TabelaMucambo[[#This Row],[Vl. Unitário]]</f>
        <v>100</v>
      </c>
      <c r="F344" s="7" t="str">
        <f>VLOOKUP(TabelaMucambo[[#This Row],[Código+Produto]],Base!A:C,3,0)</f>
        <v>prep polpa maracuja com sement</v>
      </c>
      <c r="G344" s="8" t="str">
        <f>VLOOKUP(A344,Base!A:D,4,0)</f>
        <v>PRE PREPARO BAR</v>
      </c>
    </row>
    <row r="345" spans="1:7" x14ac:dyDescent="0.25">
      <c r="A345" s="1" t="s">
        <v>41</v>
      </c>
      <c r="B345" s="1" t="s">
        <v>1</v>
      </c>
      <c r="C345" s="3">
        <v>4</v>
      </c>
      <c r="D345" s="2">
        <v>25</v>
      </c>
      <c r="E345" s="2">
        <f>TabelaMucambo[[#This Row],[Qtde]]*TabelaMucambo[[#This Row],[Vl. Unitário]]</f>
        <v>100</v>
      </c>
      <c r="F345" s="7" t="str">
        <f>VLOOKUP(TabelaMucambo[[#This Row],[Código+Produto]],Base!A:C,3,0)</f>
        <v>prep polpa maracuja com sement</v>
      </c>
      <c r="G345" s="8" t="str">
        <f>VLOOKUP(A345,Base!A:D,4,0)</f>
        <v>PRE PREPARO BAR</v>
      </c>
    </row>
    <row r="346" spans="1:7" x14ac:dyDescent="0.25">
      <c r="A346" s="1" t="s">
        <v>41</v>
      </c>
      <c r="B346" s="1" t="s">
        <v>1</v>
      </c>
      <c r="C346" s="3">
        <v>4</v>
      </c>
      <c r="D346" s="2">
        <v>25</v>
      </c>
      <c r="E346" s="2">
        <f>TabelaMucambo[[#This Row],[Qtde]]*TabelaMucambo[[#This Row],[Vl. Unitário]]</f>
        <v>100</v>
      </c>
      <c r="F346" s="7" t="str">
        <f>VLOOKUP(TabelaMucambo[[#This Row],[Código+Produto]],Base!A:C,3,0)</f>
        <v>prep polpa maracuja com sement</v>
      </c>
      <c r="G346" s="8" t="str">
        <f>VLOOKUP(A346,Base!A:D,4,0)</f>
        <v>PRE PREPARO BAR</v>
      </c>
    </row>
    <row r="347" spans="1:7" x14ac:dyDescent="0.25">
      <c r="A347" s="1" t="s">
        <v>41</v>
      </c>
      <c r="B347" s="1" t="s">
        <v>1</v>
      </c>
      <c r="C347" s="3">
        <v>6</v>
      </c>
      <c r="D347" s="2">
        <v>25</v>
      </c>
      <c r="E347" s="2">
        <f>TabelaMucambo[[#This Row],[Qtde]]*TabelaMucambo[[#This Row],[Vl. Unitário]]</f>
        <v>150</v>
      </c>
      <c r="F347" s="7" t="str">
        <f>VLOOKUP(TabelaMucambo[[#This Row],[Código+Produto]],Base!A:C,3,0)</f>
        <v>prep polpa maracuja com sement</v>
      </c>
      <c r="G347" s="8" t="str">
        <f>VLOOKUP(A347,Base!A:D,4,0)</f>
        <v>PRE PREPARO BAR</v>
      </c>
    </row>
    <row r="348" spans="1:7" x14ac:dyDescent="0.25">
      <c r="A348" s="1" t="s">
        <v>1218</v>
      </c>
      <c r="B348" s="1" t="s">
        <v>1</v>
      </c>
      <c r="C348" s="3">
        <v>4</v>
      </c>
      <c r="D348" s="2">
        <v>15</v>
      </c>
      <c r="E348" s="2">
        <f>TabelaMucambo[[#This Row],[Qtde]]*TabelaMucambo[[#This Row],[Vl. Unitário]]</f>
        <v>60</v>
      </c>
      <c r="F348" s="7" t="str">
        <f>VLOOKUP(TabelaMucambo[[#This Row],[Código+Produto]],Base!A:C,3,0)</f>
        <v>prep cordao file mignon moido</v>
      </c>
      <c r="G348" s="8" t="str">
        <f>VLOOKUP(A348,Base!A:D,4,0)</f>
        <v>PRE PREPARO COZINHA</v>
      </c>
    </row>
    <row r="349" spans="1:7" x14ac:dyDescent="0.25">
      <c r="A349" s="1" t="s">
        <v>1218</v>
      </c>
      <c r="B349" s="1" t="s">
        <v>1</v>
      </c>
      <c r="C349" s="3">
        <v>3.75</v>
      </c>
      <c r="D349" s="2">
        <v>15</v>
      </c>
      <c r="E349" s="2">
        <f>TabelaMucambo[[#This Row],[Qtde]]*TabelaMucambo[[#This Row],[Vl. Unitário]]</f>
        <v>56.25</v>
      </c>
      <c r="F349" s="7" t="str">
        <f>VLOOKUP(TabelaMucambo[[#This Row],[Código+Produto]],Base!A:C,3,0)</f>
        <v>prep cordao file mignon moido</v>
      </c>
      <c r="G349" s="8" t="str">
        <f>VLOOKUP(A349,Base!A:D,4,0)</f>
        <v>PRE PREPARO COZINHA</v>
      </c>
    </row>
    <row r="350" spans="1:7" x14ac:dyDescent="0.25">
      <c r="A350" s="1" t="s">
        <v>1198</v>
      </c>
      <c r="B350" s="1" t="s">
        <v>14</v>
      </c>
      <c r="C350" s="3">
        <v>48</v>
      </c>
      <c r="D350" s="2">
        <v>9.5832999999999995</v>
      </c>
      <c r="E350" s="2">
        <f>TabelaMucambo[[#This Row],[Qtde]]*TabelaMucambo[[#This Row],[Vl. Unitário]]</f>
        <v>459.99839999999995</v>
      </c>
      <c r="F350" s="40" t="str">
        <f>VLOOKUP(TabelaMucambo[[#This Row],[Código+Produto]],Base!A:C,3,0)</f>
        <v>HEINEKEN 600ML</v>
      </c>
      <c r="G350" s="8" t="str">
        <f>VLOOKUP(A350,Base!A:D,4,0)</f>
        <v>CERVEJAS</v>
      </c>
    </row>
    <row r="351" spans="1:7" x14ac:dyDescent="0.25">
      <c r="A351" s="1" t="s">
        <v>1243</v>
      </c>
      <c r="B351" s="1" t="s">
        <v>1</v>
      </c>
      <c r="C351" s="3">
        <v>2.9</v>
      </c>
      <c r="D351" s="2">
        <v>8</v>
      </c>
      <c r="E351" s="2">
        <f>TabelaMucambo[[#This Row],[Qtde]]*TabelaMucambo[[#This Row],[Vl. Unitário]]</f>
        <v>23.2</v>
      </c>
      <c r="F351" s="7" t="str">
        <f>VLOOKUP(TabelaMucambo[[#This Row],[Código+Produto]],Base!A:C,3,0)</f>
        <v>prep fraldinha moida</v>
      </c>
      <c r="G351" s="8" t="str">
        <f>VLOOKUP(A351,Base!A:D,4,0)</f>
        <v>PRE PREPARO COZINHA</v>
      </c>
    </row>
    <row r="352" spans="1:7" x14ac:dyDescent="0.25">
      <c r="A352" s="1" t="s">
        <v>1243</v>
      </c>
      <c r="B352" s="1" t="s">
        <v>1</v>
      </c>
      <c r="C352" s="3">
        <v>2.8</v>
      </c>
      <c r="D352" s="2">
        <v>15</v>
      </c>
      <c r="E352" s="2">
        <f>TabelaMucambo[[#This Row],[Qtde]]*TabelaMucambo[[#This Row],[Vl. Unitário]]</f>
        <v>42</v>
      </c>
      <c r="F352" s="7" t="str">
        <f>VLOOKUP(TabelaMucambo[[#This Row],[Código+Produto]],Base!A:C,3,0)</f>
        <v>prep fraldinha moida</v>
      </c>
      <c r="G352" s="8" t="str">
        <f>VLOOKUP(A352,Base!A:D,4,0)</f>
        <v>PRE PREPARO COZINHA</v>
      </c>
    </row>
    <row r="353" spans="1:7" x14ac:dyDescent="0.25">
      <c r="A353" s="1" t="s">
        <v>1243</v>
      </c>
      <c r="B353" s="1" t="s">
        <v>1</v>
      </c>
      <c r="C353" s="3">
        <v>6.3</v>
      </c>
      <c r="D353" s="2">
        <v>12</v>
      </c>
      <c r="E353" s="2">
        <f>TabelaMucambo[[#This Row],[Qtde]]*TabelaMucambo[[#This Row],[Vl. Unitário]]</f>
        <v>75.599999999999994</v>
      </c>
      <c r="F353" s="7" t="str">
        <f>VLOOKUP(TabelaMucambo[[#This Row],[Código+Produto]],Base!A:C,3,0)</f>
        <v>prep fraldinha moida</v>
      </c>
      <c r="G353" s="8" t="str">
        <f>VLOOKUP(A353,Base!A:D,4,0)</f>
        <v>PRE PREPARO COZINHA</v>
      </c>
    </row>
    <row r="354" spans="1:7" x14ac:dyDescent="0.25">
      <c r="A354" s="1" t="s">
        <v>40</v>
      </c>
      <c r="B354" s="1" t="s">
        <v>1</v>
      </c>
      <c r="C354" s="3">
        <v>1</v>
      </c>
      <c r="D354" s="2">
        <v>3.6404000000000001</v>
      </c>
      <c r="E354" s="2">
        <f>TabelaMucambo[[#This Row],[Qtde]]*TabelaMucambo[[#This Row],[Vl. Unitário]]</f>
        <v>3.6404000000000001</v>
      </c>
      <c r="F354" s="7" t="str">
        <f>VLOOKUP(TabelaMucambo[[#This Row],[Código+Produto]],Base!A:C,3,0)</f>
        <v>prep massa fettuccine</v>
      </c>
      <c r="G354" s="8" t="str">
        <f>VLOOKUP(A354,Base!A:D,4,0)</f>
        <v>PRE PREPARO COZINHA</v>
      </c>
    </row>
    <row r="355" spans="1:7" x14ac:dyDescent="0.25">
      <c r="A355" s="1" t="s">
        <v>40</v>
      </c>
      <c r="B355" s="1" t="s">
        <v>1</v>
      </c>
      <c r="C355" s="3">
        <v>2.1</v>
      </c>
      <c r="D355" s="2">
        <v>3.6404000000000001</v>
      </c>
      <c r="E355" s="2">
        <f>TabelaMucambo[[#This Row],[Qtde]]*TabelaMucambo[[#This Row],[Vl. Unitário]]</f>
        <v>7.6448400000000003</v>
      </c>
      <c r="F355" s="7" t="str">
        <f>VLOOKUP(TabelaMucambo[[#This Row],[Código+Produto]],Base!A:C,3,0)</f>
        <v>prep massa fettuccine</v>
      </c>
      <c r="G355" s="8" t="str">
        <f>VLOOKUP(A355,Base!A:D,4,0)</f>
        <v>PRE PREPARO COZINHA</v>
      </c>
    </row>
    <row r="356" spans="1:7" x14ac:dyDescent="0.25">
      <c r="A356" s="1" t="s">
        <v>40</v>
      </c>
      <c r="B356" s="1" t="s">
        <v>1</v>
      </c>
      <c r="C356" s="3">
        <v>5.15</v>
      </c>
      <c r="D356" s="2">
        <v>3.6606000000000001</v>
      </c>
      <c r="E356" s="2">
        <f>TabelaMucambo[[#This Row],[Qtde]]*TabelaMucambo[[#This Row],[Vl. Unitário]]</f>
        <v>18.85209</v>
      </c>
      <c r="F356" s="7" t="str">
        <f>VLOOKUP(TabelaMucambo[[#This Row],[Código+Produto]],Base!A:C,3,0)</f>
        <v>prep massa fettuccine</v>
      </c>
      <c r="G356" s="8" t="str">
        <f>VLOOKUP(A356,Base!A:D,4,0)</f>
        <v>PRE PREPARO COZINHA</v>
      </c>
    </row>
    <row r="357" spans="1:7" x14ac:dyDescent="0.25">
      <c r="A357" s="1" t="s">
        <v>40</v>
      </c>
      <c r="B357" s="1" t="s">
        <v>1</v>
      </c>
      <c r="C357" s="3">
        <v>6.5</v>
      </c>
      <c r="D357" s="2">
        <v>3.6606000000000001</v>
      </c>
      <c r="E357" s="2">
        <f>TabelaMucambo[[#This Row],[Qtde]]*TabelaMucambo[[#This Row],[Vl. Unitário]]</f>
        <v>23.793900000000001</v>
      </c>
      <c r="F357" s="7" t="str">
        <f>VLOOKUP(TabelaMucambo[[#This Row],[Código+Produto]],Base!A:C,3,0)</f>
        <v>prep massa fettuccine</v>
      </c>
      <c r="G357" s="8" t="str">
        <f>VLOOKUP(A357,Base!A:D,4,0)</f>
        <v>PRE PREPARO COZINHA</v>
      </c>
    </row>
    <row r="358" spans="1:7" x14ac:dyDescent="0.25">
      <c r="A358" s="1" t="s">
        <v>40</v>
      </c>
      <c r="B358" s="1" t="s">
        <v>1</v>
      </c>
      <c r="C358" s="3">
        <v>6.35</v>
      </c>
      <c r="D358" s="2">
        <v>3.6265999999999998</v>
      </c>
      <c r="E358" s="2">
        <f>TabelaMucambo[[#This Row],[Qtde]]*TabelaMucambo[[#This Row],[Vl. Unitário]]</f>
        <v>23.028909999999996</v>
      </c>
      <c r="F358" s="7" t="str">
        <f>VLOOKUP(TabelaMucambo[[#This Row],[Código+Produto]],Base!A:C,3,0)</f>
        <v>prep massa fettuccine</v>
      </c>
      <c r="G358" s="8" t="str">
        <f>VLOOKUP(A358,Base!A:D,4,0)</f>
        <v>PRE PREPARO COZINHA</v>
      </c>
    </row>
    <row r="359" spans="1:7" x14ac:dyDescent="0.25">
      <c r="A359" s="1" t="s">
        <v>40</v>
      </c>
      <c r="B359" s="1" t="s">
        <v>1</v>
      </c>
      <c r="C359" s="3">
        <v>8.0500000000000007</v>
      </c>
      <c r="D359" s="2">
        <v>3.6265999999999998</v>
      </c>
      <c r="E359" s="2">
        <f>TabelaMucambo[[#This Row],[Qtde]]*TabelaMucambo[[#This Row],[Vl. Unitário]]</f>
        <v>29.194130000000001</v>
      </c>
      <c r="F359" s="7" t="str">
        <f>VLOOKUP(TabelaMucambo[[#This Row],[Código+Produto]],Base!A:C,3,0)</f>
        <v>prep massa fettuccine</v>
      </c>
      <c r="G359" s="8" t="str">
        <f>VLOOKUP(A359,Base!A:D,4,0)</f>
        <v>PRE PREPARO COZINHA</v>
      </c>
    </row>
    <row r="360" spans="1:7" x14ac:dyDescent="0.25">
      <c r="A360" s="1" t="s">
        <v>1213</v>
      </c>
      <c r="B360" s="1" t="s">
        <v>14</v>
      </c>
      <c r="C360" s="3">
        <v>24</v>
      </c>
      <c r="D360" s="2">
        <v>5.9166999999999996</v>
      </c>
      <c r="E360" s="2">
        <f>TabelaMucambo[[#This Row],[Qtde]]*TabelaMucambo[[#This Row],[Vl. Unitário]]</f>
        <v>142.0008</v>
      </c>
      <c r="F360" s="7" t="str">
        <f>VLOOKUP(TabelaMucambo[[#This Row],[Código+Produto]],Base!A:C,3,0)</f>
        <v>HEINEKEN LN 330ML</v>
      </c>
      <c r="G360" s="8" t="str">
        <f>VLOOKUP(A360,Base!A:D,4,0)</f>
        <v>CERVEJAS</v>
      </c>
    </row>
    <row r="361" spans="1:7" x14ac:dyDescent="0.25">
      <c r="A361" s="1" t="s">
        <v>54</v>
      </c>
      <c r="B361" s="1" t="s">
        <v>1</v>
      </c>
      <c r="C361" s="3">
        <v>6.2</v>
      </c>
      <c r="D361" s="2">
        <v>3.6606000000000001</v>
      </c>
      <c r="E361" s="2">
        <f>TabelaMucambo[[#This Row],[Qtde]]*TabelaMucambo[[#This Row],[Vl. Unitário]]</f>
        <v>22.695720000000001</v>
      </c>
      <c r="F361" s="7" t="str">
        <f>VLOOKUP(TabelaMucambo[[#This Row],[Código+Produto]],Base!A:C,3,0)</f>
        <v>prep massa rondelli</v>
      </c>
      <c r="G361" s="8" t="str">
        <f>VLOOKUP(A361,Base!A:D,4,0)</f>
        <v>PRE PREPARO COZINHA</v>
      </c>
    </row>
    <row r="362" spans="1:7" x14ac:dyDescent="0.25">
      <c r="A362" s="1" t="s">
        <v>54</v>
      </c>
      <c r="B362" s="1" t="s">
        <v>1</v>
      </c>
      <c r="C362" s="3">
        <v>5.85</v>
      </c>
      <c r="D362" s="2">
        <v>3.6606000000000001</v>
      </c>
      <c r="E362" s="2">
        <f>TabelaMucambo[[#This Row],[Qtde]]*TabelaMucambo[[#This Row],[Vl. Unitário]]</f>
        <v>21.41451</v>
      </c>
      <c r="F362" s="7" t="str">
        <f>VLOOKUP(TabelaMucambo[[#This Row],[Código+Produto]],Base!A:C,3,0)</f>
        <v>prep massa rondelli</v>
      </c>
      <c r="G362" s="8" t="str">
        <f>VLOOKUP(A362,Base!A:D,4,0)</f>
        <v>PRE PREPARO COZINHA</v>
      </c>
    </row>
    <row r="363" spans="1:7" x14ac:dyDescent="0.25">
      <c r="A363" s="1" t="s">
        <v>54</v>
      </c>
      <c r="B363" s="1" t="s">
        <v>1</v>
      </c>
      <c r="C363" s="3">
        <v>12.5</v>
      </c>
      <c r="D363" s="2">
        <v>3.6265999999999998</v>
      </c>
      <c r="E363" s="2">
        <f>TabelaMucambo[[#This Row],[Qtde]]*TabelaMucambo[[#This Row],[Vl. Unitário]]</f>
        <v>45.332499999999996</v>
      </c>
      <c r="F363" s="7" t="str">
        <f>VLOOKUP(TabelaMucambo[[#This Row],[Código+Produto]],Base!A:C,3,0)</f>
        <v>prep massa rondelli</v>
      </c>
      <c r="G363" s="8" t="str">
        <f>VLOOKUP(A363,Base!A:D,4,0)</f>
        <v>PRE PREPARO COZINHA</v>
      </c>
    </row>
    <row r="364" spans="1:7" x14ac:dyDescent="0.25">
      <c r="A364" s="1" t="s">
        <v>54</v>
      </c>
      <c r="B364" s="1" t="s">
        <v>1</v>
      </c>
      <c r="C364" s="3">
        <v>9.3000000000000007</v>
      </c>
      <c r="D364" s="2">
        <v>3.6265999999999998</v>
      </c>
      <c r="E364" s="2">
        <f>TabelaMucambo[[#This Row],[Qtde]]*TabelaMucambo[[#This Row],[Vl. Unitário]]</f>
        <v>33.727380000000004</v>
      </c>
      <c r="F364" s="7" t="str">
        <f>VLOOKUP(TabelaMucambo[[#This Row],[Código+Produto]],Base!A:C,3,0)</f>
        <v>prep massa rondelli</v>
      </c>
      <c r="G364" s="8" t="str">
        <f>VLOOKUP(A364,Base!A:D,4,0)</f>
        <v>PRE PREPARO COZINHA</v>
      </c>
    </row>
    <row r="365" spans="1:7" x14ac:dyDescent="0.25">
      <c r="A365" s="1" t="s">
        <v>28</v>
      </c>
      <c r="B365" s="1" t="s">
        <v>6</v>
      </c>
      <c r="C365" s="3">
        <v>4.5</v>
      </c>
      <c r="D365" s="2">
        <v>6.4602000000000004</v>
      </c>
      <c r="E365" s="2">
        <f>TabelaMucambo[[#This Row],[Qtde]]*TabelaMucambo[[#This Row],[Vl. Unitário]]</f>
        <v>29.070900000000002</v>
      </c>
      <c r="F365" s="7" t="str">
        <f>VLOOKUP(TabelaMucambo[[#This Row],[Código+Produto]],Base!A:C,3,0)</f>
        <v>prep molho madeira</v>
      </c>
      <c r="G365" s="8" t="str">
        <f>VLOOKUP(A365,Base!A:D,4,0)</f>
        <v>PRE PREPARO COZINHA</v>
      </c>
    </row>
    <row r="366" spans="1:7" x14ac:dyDescent="0.25">
      <c r="A366" s="1" t="s">
        <v>28</v>
      </c>
      <c r="B366" s="1" t="s">
        <v>6</v>
      </c>
      <c r="C366" s="3">
        <v>3.05</v>
      </c>
      <c r="D366" s="2">
        <v>6.4602000000000004</v>
      </c>
      <c r="E366" s="2">
        <f>TabelaMucambo[[#This Row],[Qtde]]*TabelaMucambo[[#This Row],[Vl. Unitário]]</f>
        <v>19.703610000000001</v>
      </c>
      <c r="F366" s="7" t="str">
        <f>VLOOKUP(TabelaMucambo[[#This Row],[Código+Produto]],Base!A:C,3,0)</f>
        <v>prep molho madeira</v>
      </c>
      <c r="G366" s="8" t="str">
        <f>VLOOKUP(A366,Base!A:D,4,0)</f>
        <v>PRE PREPARO COZINHA</v>
      </c>
    </row>
    <row r="367" spans="1:7" x14ac:dyDescent="0.25">
      <c r="A367" s="1" t="s">
        <v>28</v>
      </c>
      <c r="B367" s="1" t="s">
        <v>6</v>
      </c>
      <c r="C367" s="3">
        <v>6</v>
      </c>
      <c r="D367" s="2">
        <v>6.4554</v>
      </c>
      <c r="E367" s="2">
        <f>TabelaMucambo[[#This Row],[Qtde]]*TabelaMucambo[[#This Row],[Vl. Unitário]]</f>
        <v>38.732399999999998</v>
      </c>
      <c r="F367" s="7" t="str">
        <f>VLOOKUP(TabelaMucambo[[#This Row],[Código+Produto]],Base!A:C,3,0)</f>
        <v>prep molho madeira</v>
      </c>
      <c r="G367" s="8" t="str">
        <f>VLOOKUP(A367,Base!A:D,4,0)</f>
        <v>PRE PREPARO COZINHA</v>
      </c>
    </row>
    <row r="368" spans="1:7" x14ac:dyDescent="0.25">
      <c r="A368" s="1" t="s">
        <v>28</v>
      </c>
      <c r="B368" s="1" t="s">
        <v>6</v>
      </c>
      <c r="C368" s="3">
        <v>8</v>
      </c>
      <c r="D368" s="2">
        <v>6.4505999999999997</v>
      </c>
      <c r="E368" s="2">
        <f>TabelaMucambo[[#This Row],[Qtde]]*TabelaMucambo[[#This Row],[Vl. Unitário]]</f>
        <v>51.604799999999997</v>
      </c>
      <c r="F368" s="7" t="str">
        <f>VLOOKUP(TabelaMucambo[[#This Row],[Código+Produto]],Base!A:C,3,0)</f>
        <v>prep molho madeira</v>
      </c>
      <c r="G368" s="8" t="str">
        <f>VLOOKUP(A368,Base!A:D,4,0)</f>
        <v>PRE PREPARO COZINHA</v>
      </c>
    </row>
    <row r="369" spans="1:7" x14ac:dyDescent="0.25">
      <c r="A369" s="1" t="s">
        <v>28</v>
      </c>
      <c r="B369" s="1" t="s">
        <v>6</v>
      </c>
      <c r="C369" s="3">
        <v>8</v>
      </c>
      <c r="D369" s="2">
        <v>6.4505999999999997</v>
      </c>
      <c r="E369" s="2">
        <f>TabelaMucambo[[#This Row],[Qtde]]*TabelaMucambo[[#This Row],[Vl. Unitário]]</f>
        <v>51.604799999999997</v>
      </c>
      <c r="F369" s="7" t="str">
        <f>VLOOKUP(TabelaMucambo[[#This Row],[Código+Produto]],Base!A:C,3,0)</f>
        <v>prep molho madeira</v>
      </c>
      <c r="G369" s="8" t="str">
        <f>VLOOKUP(A369,Base!A:D,4,0)</f>
        <v>PRE PREPARO COZINHA</v>
      </c>
    </row>
    <row r="370" spans="1:7" x14ac:dyDescent="0.25">
      <c r="A370" s="1" t="s">
        <v>1197</v>
      </c>
      <c r="B370" s="1" t="s">
        <v>6</v>
      </c>
      <c r="C370" s="3">
        <v>6</v>
      </c>
      <c r="D370" s="2">
        <v>6.7930000000000001</v>
      </c>
      <c r="E370" s="2">
        <f>TabelaMucambo[[#This Row],[Qtde]]*TabelaMucambo[[#This Row],[Vl. Unitário]]</f>
        <v>40.758000000000003</v>
      </c>
      <c r="F370" s="7" t="str">
        <f>VLOOKUP(TabelaMucambo[[#This Row],[Código+Produto]],Base!A:C,3,0)</f>
        <v>prep molho vermelho</v>
      </c>
      <c r="G370" s="8" t="str">
        <f>VLOOKUP(A370,Base!A:D,4,0)</f>
        <v>PRE PREPARO COZINHA</v>
      </c>
    </row>
    <row r="371" spans="1:7" x14ac:dyDescent="0.25">
      <c r="A371" s="1" t="s">
        <v>1197</v>
      </c>
      <c r="B371" s="1" t="s">
        <v>6</v>
      </c>
      <c r="C371" s="3">
        <v>10</v>
      </c>
      <c r="D371" s="2">
        <v>6.7930000000000001</v>
      </c>
      <c r="E371" s="2">
        <f>TabelaMucambo[[#This Row],[Qtde]]*TabelaMucambo[[#This Row],[Vl. Unitário]]</f>
        <v>67.930000000000007</v>
      </c>
      <c r="F371" s="7" t="str">
        <f>VLOOKUP(TabelaMucambo[[#This Row],[Código+Produto]],Base!A:C,3,0)</f>
        <v>prep molho vermelho</v>
      </c>
      <c r="G371" s="8" t="str">
        <f>VLOOKUP(A371,Base!A:D,4,0)</f>
        <v>PRE PREPARO COZINHA</v>
      </c>
    </row>
    <row r="372" spans="1:7" x14ac:dyDescent="0.25">
      <c r="A372" s="1" t="s">
        <v>1197</v>
      </c>
      <c r="B372" s="1" t="s">
        <v>6</v>
      </c>
      <c r="C372" s="3">
        <v>6</v>
      </c>
      <c r="D372" s="2">
        <v>6.7931999999999997</v>
      </c>
      <c r="E372" s="2">
        <f>TabelaMucambo[[#This Row],[Qtde]]*TabelaMucambo[[#This Row],[Vl. Unitário]]</f>
        <v>40.7592</v>
      </c>
      <c r="F372" s="7" t="str">
        <f>VLOOKUP(TabelaMucambo[[#This Row],[Código+Produto]],Base!A:C,3,0)</f>
        <v>prep molho vermelho</v>
      </c>
      <c r="G372" s="8" t="str">
        <f>VLOOKUP(A372,Base!A:D,4,0)</f>
        <v>PRE PREPARO COZINHA</v>
      </c>
    </row>
    <row r="373" spans="1:7" x14ac:dyDescent="0.25">
      <c r="A373" s="1" t="s">
        <v>1197</v>
      </c>
      <c r="B373" s="1" t="s">
        <v>6</v>
      </c>
      <c r="C373" s="3">
        <v>9.5</v>
      </c>
      <c r="D373" s="2">
        <v>6.7931999999999997</v>
      </c>
      <c r="E373" s="2">
        <f>TabelaMucambo[[#This Row],[Qtde]]*TabelaMucambo[[#This Row],[Vl. Unitário]]</f>
        <v>64.535399999999996</v>
      </c>
      <c r="F373" s="7" t="str">
        <f>VLOOKUP(TabelaMucambo[[#This Row],[Código+Produto]],Base!A:C,3,0)</f>
        <v>prep molho vermelho</v>
      </c>
      <c r="G373" s="8" t="str">
        <f>VLOOKUP(A373,Base!A:D,4,0)</f>
        <v>PRE PREPARO COZINHA</v>
      </c>
    </row>
    <row r="374" spans="1:7" x14ac:dyDescent="0.25">
      <c r="A374" s="1" t="s">
        <v>1197</v>
      </c>
      <c r="B374" s="1" t="s">
        <v>6</v>
      </c>
      <c r="C374" s="3">
        <v>8</v>
      </c>
      <c r="D374" s="2">
        <v>6.7931999999999997</v>
      </c>
      <c r="E374" s="2">
        <f>TabelaMucambo[[#This Row],[Qtde]]*TabelaMucambo[[#This Row],[Vl. Unitário]]</f>
        <v>54.345599999999997</v>
      </c>
      <c r="F374" s="7" t="str">
        <f>VLOOKUP(TabelaMucambo[[#This Row],[Código+Produto]],Base!A:C,3,0)</f>
        <v>prep molho vermelho</v>
      </c>
      <c r="G374" s="8" t="str">
        <f>VLOOKUP(A374,Base!A:D,4,0)</f>
        <v>PRE PREPARO COZINHA</v>
      </c>
    </row>
    <row r="375" spans="1:7" x14ac:dyDescent="0.25">
      <c r="A375" s="1" t="s">
        <v>1197</v>
      </c>
      <c r="B375" s="1" t="s">
        <v>6</v>
      </c>
      <c r="C375" s="3">
        <v>5</v>
      </c>
      <c r="D375" s="2">
        <v>6.7931999999999997</v>
      </c>
      <c r="E375" s="2">
        <f>TabelaMucambo[[#This Row],[Qtde]]*TabelaMucambo[[#This Row],[Vl. Unitário]]</f>
        <v>33.966000000000001</v>
      </c>
      <c r="F375" s="7" t="str">
        <f>VLOOKUP(TabelaMucambo[[#This Row],[Código+Produto]],Base!A:C,3,0)</f>
        <v>prep molho vermelho</v>
      </c>
      <c r="G375" s="8" t="str">
        <f>VLOOKUP(A375,Base!A:D,4,0)</f>
        <v>PRE PREPARO COZINHA</v>
      </c>
    </row>
    <row r="376" spans="1:7" x14ac:dyDescent="0.25">
      <c r="A376" s="1" t="s">
        <v>1197</v>
      </c>
      <c r="B376" s="1" t="s">
        <v>6</v>
      </c>
      <c r="C376" s="3">
        <v>12</v>
      </c>
      <c r="D376" s="2">
        <v>6.7931999999999997</v>
      </c>
      <c r="E376" s="2">
        <f>TabelaMucambo[[#This Row],[Qtde]]*TabelaMucambo[[#This Row],[Vl. Unitário]]</f>
        <v>81.5184</v>
      </c>
      <c r="F376" s="7" t="str">
        <f>VLOOKUP(TabelaMucambo[[#This Row],[Código+Produto]],Base!A:C,3,0)</f>
        <v>prep molho vermelho</v>
      </c>
      <c r="G376" s="8" t="str">
        <f>VLOOKUP(A376,Base!A:D,4,0)</f>
        <v>PRE PREPARO COZINHA</v>
      </c>
    </row>
    <row r="377" spans="1:7" x14ac:dyDescent="0.25">
      <c r="A377" s="1" t="s">
        <v>1197</v>
      </c>
      <c r="B377" s="1" t="s">
        <v>6</v>
      </c>
      <c r="C377" s="3">
        <v>6</v>
      </c>
      <c r="D377" s="2">
        <v>6.7931999999999997</v>
      </c>
      <c r="E377" s="2">
        <f>TabelaMucambo[[#This Row],[Qtde]]*TabelaMucambo[[#This Row],[Vl. Unitário]]</f>
        <v>40.7592</v>
      </c>
      <c r="F377" s="7" t="str">
        <f>VLOOKUP(TabelaMucambo[[#This Row],[Código+Produto]],Base!A:C,3,0)</f>
        <v>prep molho vermelho</v>
      </c>
      <c r="G377" s="8" t="str">
        <f>VLOOKUP(A377,Base!A:D,4,0)</f>
        <v>PRE PREPARO COZINHA</v>
      </c>
    </row>
    <row r="378" spans="1:7" x14ac:dyDescent="0.25">
      <c r="A378" s="1" t="s">
        <v>1197</v>
      </c>
      <c r="B378" s="1" t="s">
        <v>6</v>
      </c>
      <c r="C378" s="3">
        <v>9.5</v>
      </c>
      <c r="D378" s="2">
        <v>6.7931999999999997</v>
      </c>
      <c r="E378" s="2">
        <f>TabelaMucambo[[#This Row],[Qtde]]*TabelaMucambo[[#This Row],[Vl. Unitário]]</f>
        <v>64.535399999999996</v>
      </c>
      <c r="F378" s="7" t="str">
        <f>VLOOKUP(TabelaMucambo[[#This Row],[Código+Produto]],Base!A:C,3,0)</f>
        <v>prep molho vermelho</v>
      </c>
      <c r="G378" s="8" t="str">
        <f>VLOOKUP(A378,Base!A:D,4,0)</f>
        <v>PRE PREPARO COZINHA</v>
      </c>
    </row>
    <row r="379" spans="1:7" x14ac:dyDescent="0.25">
      <c r="A379" s="1" t="s">
        <v>1197</v>
      </c>
      <c r="B379" s="1" t="s">
        <v>6</v>
      </c>
      <c r="C379" s="3">
        <v>8.5</v>
      </c>
      <c r="D379" s="2">
        <v>6.7931999999999997</v>
      </c>
      <c r="E379" s="2">
        <f>TabelaMucambo[[#This Row],[Qtde]]*TabelaMucambo[[#This Row],[Vl. Unitário]]</f>
        <v>57.742199999999997</v>
      </c>
      <c r="F379" s="7" t="str">
        <f>VLOOKUP(TabelaMucambo[[#This Row],[Código+Produto]],Base!A:C,3,0)</f>
        <v>prep molho vermelho</v>
      </c>
      <c r="G379" s="8" t="str">
        <f>VLOOKUP(A379,Base!A:D,4,0)</f>
        <v>PRE PREPARO COZINHA</v>
      </c>
    </row>
    <row r="380" spans="1:7" x14ac:dyDescent="0.25">
      <c r="A380" s="1" t="s">
        <v>1197</v>
      </c>
      <c r="B380" s="1" t="s">
        <v>6</v>
      </c>
      <c r="C380" s="3">
        <v>6</v>
      </c>
      <c r="D380" s="2">
        <v>6.7931999999999997</v>
      </c>
      <c r="E380" s="2">
        <f>TabelaMucambo[[#This Row],[Qtde]]*TabelaMucambo[[#This Row],[Vl. Unitário]]</f>
        <v>40.7592</v>
      </c>
      <c r="F380" s="7" t="str">
        <f>VLOOKUP(TabelaMucambo[[#This Row],[Código+Produto]],Base!A:C,3,0)</f>
        <v>prep molho vermelho</v>
      </c>
      <c r="G380" s="8" t="str">
        <f>VLOOKUP(A380,Base!A:D,4,0)</f>
        <v>PRE PREPARO COZINHA</v>
      </c>
    </row>
    <row r="381" spans="1:7" x14ac:dyDescent="0.25">
      <c r="A381" s="1" t="s">
        <v>1197</v>
      </c>
      <c r="B381" s="1" t="s">
        <v>6</v>
      </c>
      <c r="C381" s="3">
        <v>8</v>
      </c>
      <c r="D381" s="2">
        <v>6.7931999999999997</v>
      </c>
      <c r="E381" s="2">
        <f>TabelaMucambo[[#This Row],[Qtde]]*TabelaMucambo[[#This Row],[Vl. Unitário]]</f>
        <v>54.345599999999997</v>
      </c>
      <c r="F381" s="7" t="str">
        <f>VLOOKUP(TabelaMucambo[[#This Row],[Código+Produto]],Base!A:C,3,0)</f>
        <v>prep molho vermelho</v>
      </c>
      <c r="G381" s="8" t="str">
        <f>VLOOKUP(A381,Base!A:D,4,0)</f>
        <v>PRE PREPARO COZINHA</v>
      </c>
    </row>
    <row r="382" spans="1:7" x14ac:dyDescent="0.25">
      <c r="A382" s="1" t="s">
        <v>1197</v>
      </c>
      <c r="B382" s="1" t="s">
        <v>6</v>
      </c>
      <c r="C382" s="3">
        <v>5.5</v>
      </c>
      <c r="D382" s="2">
        <v>6.7931999999999997</v>
      </c>
      <c r="E382" s="2">
        <f>TabelaMucambo[[#This Row],[Qtde]]*TabelaMucambo[[#This Row],[Vl. Unitário]]</f>
        <v>37.3626</v>
      </c>
      <c r="F382" s="7" t="str">
        <f>VLOOKUP(TabelaMucambo[[#This Row],[Código+Produto]],Base!A:C,3,0)</f>
        <v>prep molho vermelho</v>
      </c>
      <c r="G382" s="8" t="str">
        <f>VLOOKUP(A382,Base!A:D,4,0)</f>
        <v>PRE PREPARO COZINHA</v>
      </c>
    </row>
    <row r="383" spans="1:7" x14ac:dyDescent="0.25">
      <c r="A383" s="1" t="s">
        <v>1197</v>
      </c>
      <c r="B383" s="1" t="s">
        <v>6</v>
      </c>
      <c r="C383" s="3">
        <v>8</v>
      </c>
      <c r="D383" s="2">
        <v>6.7931999999999997</v>
      </c>
      <c r="E383" s="2">
        <f>TabelaMucambo[[#This Row],[Qtde]]*TabelaMucambo[[#This Row],[Vl. Unitário]]</f>
        <v>54.345599999999997</v>
      </c>
      <c r="F383" s="40" t="str">
        <f>VLOOKUP(TabelaMucambo[[#This Row],[Código+Produto]],Base!A:C,3,0)</f>
        <v>prep molho vermelho</v>
      </c>
      <c r="G383" s="8" t="str">
        <f>VLOOKUP(A383,Base!A:D,4,0)</f>
        <v>PRE PREPARO COZINHA</v>
      </c>
    </row>
    <row r="384" spans="1:7" x14ac:dyDescent="0.25">
      <c r="A384" s="1" t="s">
        <v>1197</v>
      </c>
      <c r="B384" s="1" t="s">
        <v>6</v>
      </c>
      <c r="C384" s="3">
        <v>16</v>
      </c>
      <c r="D384" s="2">
        <v>6.7931999999999997</v>
      </c>
      <c r="E384" s="2">
        <f>TabelaMucambo[[#This Row],[Qtde]]*TabelaMucambo[[#This Row],[Vl. Unitário]]</f>
        <v>108.69119999999999</v>
      </c>
      <c r="F384" s="40" t="str">
        <f>VLOOKUP(TabelaMucambo[[#This Row],[Código+Produto]],Base!A:C,3,0)</f>
        <v>prep molho vermelho</v>
      </c>
      <c r="G384" s="8" t="str">
        <f>VLOOKUP(A384,Base!A:D,4,0)</f>
        <v>PRE PREPARO COZINHA</v>
      </c>
    </row>
    <row r="385" spans="1:7" x14ac:dyDescent="0.25">
      <c r="A385" s="1" t="s">
        <v>1206</v>
      </c>
      <c r="B385" s="1" t="s">
        <v>6</v>
      </c>
      <c r="C385" s="3">
        <v>3</v>
      </c>
      <c r="D385" s="2">
        <v>4</v>
      </c>
      <c r="E385" s="2">
        <f>TabelaMucambo[[#This Row],[Qtde]]*TabelaMucambo[[#This Row],[Vl. Unitário]]</f>
        <v>12</v>
      </c>
      <c r="F385" s="7" t="str">
        <f>VLOOKUP(TabelaMucambo[[#This Row],[Código+Produto]],Base!A:C,3,0)</f>
        <v>prep oleo de porco</v>
      </c>
      <c r="G385" s="8" t="str">
        <f>VLOOKUP(A385,Base!A:D,4,0)</f>
        <v>PRE PREPARO COZINHA</v>
      </c>
    </row>
    <row r="386" spans="1:7" x14ac:dyDescent="0.25">
      <c r="A386" s="1" t="s">
        <v>1206</v>
      </c>
      <c r="B386" s="1" t="s">
        <v>6</v>
      </c>
      <c r="C386" s="3">
        <v>3.5</v>
      </c>
      <c r="D386" s="2">
        <v>6</v>
      </c>
      <c r="E386" s="2">
        <f>TabelaMucambo[[#This Row],[Qtde]]*TabelaMucambo[[#This Row],[Vl. Unitário]]</f>
        <v>21</v>
      </c>
      <c r="F386" s="7" t="str">
        <f>VLOOKUP(TabelaMucambo[[#This Row],[Código+Produto]],Base!A:C,3,0)</f>
        <v>prep oleo de porco</v>
      </c>
      <c r="G386" s="8" t="str">
        <f>VLOOKUP(A386,Base!A:D,4,0)</f>
        <v>PRE PREPARO COZINHA</v>
      </c>
    </row>
    <row r="387" spans="1:7" x14ac:dyDescent="0.25">
      <c r="A387" s="1" t="s">
        <v>1206</v>
      </c>
      <c r="B387" s="1" t="s">
        <v>6</v>
      </c>
      <c r="C387" s="3">
        <v>4.5</v>
      </c>
      <c r="D387" s="2">
        <v>6</v>
      </c>
      <c r="E387" s="2">
        <f>TabelaMucambo[[#This Row],[Qtde]]*TabelaMucambo[[#This Row],[Vl. Unitário]]</f>
        <v>27</v>
      </c>
      <c r="F387" s="7" t="str">
        <f>VLOOKUP(TabelaMucambo[[#This Row],[Código+Produto]],Base!A:C,3,0)</f>
        <v>prep oleo de porco</v>
      </c>
      <c r="G387" s="8" t="str">
        <f>VLOOKUP(A387,Base!A:D,4,0)</f>
        <v>PRE PREPARO COZINHA</v>
      </c>
    </row>
    <row r="388" spans="1:7" x14ac:dyDescent="0.25">
      <c r="A388" s="1" t="s">
        <v>8</v>
      </c>
      <c r="B388" s="1" t="s">
        <v>1</v>
      </c>
      <c r="C388" s="3">
        <v>7.55</v>
      </c>
      <c r="D388" s="2">
        <v>17</v>
      </c>
      <c r="E388" s="2">
        <f>TabelaMucambo[[#This Row],[Qtde]]*TabelaMucambo[[#This Row],[Vl. Unitário]]</f>
        <v>128.35</v>
      </c>
      <c r="F388" s="7" t="str">
        <f>VLOOKUP(TabelaMucambo[[#This Row],[Código+Produto]],Base!A:C,3,0)</f>
        <v>tilapia limpa mp</v>
      </c>
      <c r="G388" s="8" t="str">
        <f>VLOOKUP(A388,Base!A:D,4,0)</f>
        <v>PEIXES E FRUTOS DO MAR</v>
      </c>
    </row>
    <row r="389" spans="1:7" x14ac:dyDescent="0.25">
      <c r="A389" s="1" t="s">
        <v>8</v>
      </c>
      <c r="B389" s="1" t="s">
        <v>1</v>
      </c>
      <c r="C389" s="3">
        <v>9.6</v>
      </c>
      <c r="D389" s="2">
        <v>17</v>
      </c>
      <c r="E389" s="2">
        <f>TabelaMucambo[[#This Row],[Qtde]]*TabelaMucambo[[#This Row],[Vl. Unitário]]</f>
        <v>163.19999999999999</v>
      </c>
      <c r="F389" s="7" t="str">
        <f>VLOOKUP(TabelaMucambo[[#This Row],[Código+Produto]],Base!A:C,3,0)</f>
        <v>tilapia limpa mp</v>
      </c>
      <c r="G389" s="8" t="str">
        <f>VLOOKUP(A389,Base!A:D,4,0)</f>
        <v>PEIXES E FRUTOS DO MAR</v>
      </c>
    </row>
    <row r="390" spans="1:7" x14ac:dyDescent="0.25">
      <c r="A390" s="1" t="s">
        <v>8</v>
      </c>
      <c r="B390" s="1" t="s">
        <v>1</v>
      </c>
      <c r="C390" s="3">
        <v>13.85</v>
      </c>
      <c r="D390" s="2">
        <v>17</v>
      </c>
      <c r="E390" s="2">
        <f>TabelaMucambo[[#This Row],[Qtde]]*TabelaMucambo[[#This Row],[Vl. Unitário]]</f>
        <v>235.45</v>
      </c>
      <c r="F390" s="7" t="str">
        <f>VLOOKUP(TabelaMucambo[[#This Row],[Código+Produto]],Base!A:C,3,0)</f>
        <v>tilapia limpa mp</v>
      </c>
      <c r="G390" s="8" t="str">
        <f>VLOOKUP(A390,Base!A:D,4,0)</f>
        <v>PEIXES E FRUTOS DO MAR</v>
      </c>
    </row>
    <row r="391" spans="1:7" x14ac:dyDescent="0.25">
      <c r="A391" s="1" t="s">
        <v>8</v>
      </c>
      <c r="B391" s="1" t="s">
        <v>1</v>
      </c>
      <c r="C391" s="3">
        <v>10.15</v>
      </c>
      <c r="D391" s="2">
        <v>17</v>
      </c>
      <c r="E391" s="2">
        <f>TabelaMucambo[[#This Row],[Qtde]]*TabelaMucambo[[#This Row],[Vl. Unitário]]</f>
        <v>172.55</v>
      </c>
      <c r="F391" s="7" t="str">
        <f>VLOOKUP(TabelaMucambo[[#This Row],[Código+Produto]],Base!A:C,3,0)</f>
        <v>tilapia limpa mp</v>
      </c>
      <c r="G391" s="8" t="str">
        <f>VLOOKUP(A391,Base!A:D,4,0)</f>
        <v>PEIXES E FRUTOS DO MAR</v>
      </c>
    </row>
    <row r="392" spans="1:7" x14ac:dyDescent="0.25">
      <c r="A392" s="1" t="s">
        <v>8</v>
      </c>
      <c r="B392" s="1" t="s">
        <v>1</v>
      </c>
      <c r="C392" s="3">
        <v>7.9</v>
      </c>
      <c r="D392" s="2">
        <v>17</v>
      </c>
      <c r="E392" s="2">
        <f>TabelaMucambo[[#This Row],[Qtde]]*TabelaMucambo[[#This Row],[Vl. Unitário]]</f>
        <v>134.30000000000001</v>
      </c>
      <c r="F392" s="7" t="str">
        <f>VLOOKUP(TabelaMucambo[[#This Row],[Código+Produto]],Base!A:C,3,0)</f>
        <v>tilapia limpa mp</v>
      </c>
      <c r="G392" s="8" t="str">
        <f>VLOOKUP(A392,Base!A:D,4,0)</f>
        <v>PEIXES E FRUTOS DO MAR</v>
      </c>
    </row>
    <row r="393" spans="1:7" x14ac:dyDescent="0.25">
      <c r="A393" s="1" t="s">
        <v>8</v>
      </c>
      <c r="B393" s="1" t="s">
        <v>1</v>
      </c>
      <c r="C393" s="3">
        <v>10.8</v>
      </c>
      <c r="D393" s="2">
        <v>17</v>
      </c>
      <c r="E393" s="2">
        <f>TabelaMucambo[[#This Row],[Qtde]]*TabelaMucambo[[#This Row],[Vl. Unitário]]</f>
        <v>183.60000000000002</v>
      </c>
      <c r="F393" s="7" t="str">
        <f>VLOOKUP(TabelaMucambo[[#This Row],[Código+Produto]],Base!A:C,3,0)</f>
        <v>tilapia limpa mp</v>
      </c>
      <c r="G393" s="8" t="str">
        <f>VLOOKUP(A393,Base!A:D,4,0)</f>
        <v>PEIXES E FRUTOS DO MAR</v>
      </c>
    </row>
    <row r="394" spans="1:7" x14ac:dyDescent="0.25">
      <c r="A394" s="1" t="s">
        <v>8</v>
      </c>
      <c r="B394" s="1" t="s">
        <v>1</v>
      </c>
      <c r="C394" s="3">
        <v>15.55</v>
      </c>
      <c r="D394" s="2">
        <v>17</v>
      </c>
      <c r="E394" s="2">
        <f>TabelaMucambo[[#This Row],[Qtde]]*TabelaMucambo[[#This Row],[Vl. Unitário]]</f>
        <v>264.35000000000002</v>
      </c>
      <c r="F394" s="7" t="str">
        <f>VLOOKUP(TabelaMucambo[[#This Row],[Código+Produto]],Base!A:C,3,0)</f>
        <v>tilapia limpa mp</v>
      </c>
      <c r="G394" s="8" t="str">
        <f>VLOOKUP(A394,Base!A:D,4,0)</f>
        <v>PEIXES E FRUTOS DO MAR</v>
      </c>
    </row>
    <row r="395" spans="1:7" x14ac:dyDescent="0.25">
      <c r="A395" s="1" t="s">
        <v>8</v>
      </c>
      <c r="B395" s="1" t="s">
        <v>1</v>
      </c>
      <c r="C395" s="3">
        <v>12.5</v>
      </c>
      <c r="D395" s="2">
        <v>17</v>
      </c>
      <c r="E395" s="2">
        <f>TabelaMucambo[[#This Row],[Qtde]]*TabelaMucambo[[#This Row],[Vl. Unitário]]</f>
        <v>212.5</v>
      </c>
      <c r="F395" s="7" t="str">
        <f>VLOOKUP(TabelaMucambo[[#This Row],[Código+Produto]],Base!A:C,3,0)</f>
        <v>tilapia limpa mp</v>
      </c>
      <c r="G395" s="8" t="str">
        <f>VLOOKUP(A395,Base!A:D,4,0)</f>
        <v>PEIXES E FRUTOS DO MAR</v>
      </c>
    </row>
    <row r="396" spans="1:7" x14ac:dyDescent="0.25">
      <c r="A396" s="1" t="s">
        <v>8</v>
      </c>
      <c r="B396" s="1" t="s">
        <v>1</v>
      </c>
      <c r="C396" s="3">
        <v>19</v>
      </c>
      <c r="D396" s="2">
        <v>17</v>
      </c>
      <c r="E396" s="2">
        <f>TabelaMucambo[[#This Row],[Qtde]]*TabelaMucambo[[#This Row],[Vl. Unitário]]</f>
        <v>323</v>
      </c>
      <c r="F396" s="40" t="str">
        <f>VLOOKUP(TabelaMucambo[[#This Row],[Código+Produto]],Base!A:C,3,0)</f>
        <v>tilapia limpa mp</v>
      </c>
      <c r="G396" s="8" t="str">
        <f>VLOOKUP(A396,Base!A:D,4,0)</f>
        <v>PEIXES E FRUTOS DO MAR</v>
      </c>
    </row>
    <row r="397" spans="1:7" x14ac:dyDescent="0.25">
      <c r="A397" s="1" t="s">
        <v>8</v>
      </c>
      <c r="B397" s="1" t="s">
        <v>1</v>
      </c>
      <c r="C397" s="3">
        <v>7</v>
      </c>
      <c r="D397" s="2">
        <v>17</v>
      </c>
      <c r="E397" s="2">
        <f>TabelaMucambo[[#This Row],[Qtde]]*TabelaMucambo[[#This Row],[Vl. Unitário]]</f>
        <v>119</v>
      </c>
      <c r="F397" s="40" t="str">
        <f>VLOOKUP(TabelaMucambo[[#This Row],[Código+Produto]],Base!A:C,3,0)</f>
        <v>tilapia limpa mp</v>
      </c>
      <c r="G397" s="8" t="str">
        <f>VLOOKUP(A397,Base!A:D,4,0)</f>
        <v>PEIXES E FRUTOS DO MAR</v>
      </c>
    </row>
    <row r="398" spans="1:7" x14ac:dyDescent="0.25">
      <c r="A398" s="1" t="s">
        <v>1207</v>
      </c>
      <c r="B398" s="1" t="s">
        <v>6</v>
      </c>
      <c r="C398" s="3">
        <v>12</v>
      </c>
      <c r="D398" s="2">
        <v>1.54</v>
      </c>
      <c r="E398" s="2">
        <f>TabelaMucambo[[#This Row],[Qtde]]*TabelaMucambo[[#This Row],[Vl. Unitário]]</f>
        <v>18.48</v>
      </c>
      <c r="F398" s="7" t="str">
        <f>VLOOKUP(TabelaMucambo[[#This Row],[Código+Produto]],Base!A:C,3,0)</f>
        <v>agua sanitaria</v>
      </c>
      <c r="G398" s="8" t="str">
        <f>VLOOKUP(A398,Base!A:D,4,0)</f>
        <v>MATERIAIS DE LIMPEZA</v>
      </c>
    </row>
    <row r="399" spans="1:7" x14ac:dyDescent="0.25">
      <c r="A399" s="1" t="s">
        <v>1207</v>
      </c>
      <c r="B399" s="1" t="s">
        <v>6</v>
      </c>
      <c r="C399" s="3">
        <v>12</v>
      </c>
      <c r="D399" s="2">
        <v>1.54</v>
      </c>
      <c r="E399" s="2">
        <f>TabelaMucambo[[#This Row],[Qtde]]*TabelaMucambo[[#This Row],[Vl. Unitário]]</f>
        <v>18.48</v>
      </c>
      <c r="F399" s="7" t="str">
        <f>VLOOKUP(TabelaMucambo[[#This Row],[Código+Produto]],Base!A:C,3,0)</f>
        <v>agua sanitaria</v>
      </c>
      <c r="G399" s="8" t="str">
        <f>VLOOKUP(A399,Base!A:D,4,0)</f>
        <v>MATERIAIS DE LIMPEZA</v>
      </c>
    </row>
    <row r="400" spans="1:7" x14ac:dyDescent="0.25">
      <c r="A400" s="1" t="s">
        <v>1207</v>
      </c>
      <c r="B400" s="1" t="s">
        <v>6</v>
      </c>
      <c r="C400" s="3">
        <v>12</v>
      </c>
      <c r="D400" s="2">
        <v>1.54</v>
      </c>
      <c r="E400" s="2">
        <f>TabelaMucambo[[#This Row],[Qtde]]*TabelaMucambo[[#This Row],[Vl. Unitário]]</f>
        <v>18.48</v>
      </c>
      <c r="F400" s="7" t="str">
        <f>VLOOKUP(TabelaMucambo[[#This Row],[Código+Produto]],Base!A:C,3,0)</f>
        <v>agua sanitaria</v>
      </c>
      <c r="G400" s="8" t="str">
        <f>VLOOKUP(A400,Base!A:D,4,0)</f>
        <v>MATERIAIS DE LIMPEZA</v>
      </c>
    </row>
    <row r="401" spans="1:7" x14ac:dyDescent="0.25">
      <c r="A401" s="1" t="s">
        <v>1207</v>
      </c>
      <c r="B401" s="1" t="s">
        <v>6</v>
      </c>
      <c r="C401" s="3">
        <v>12</v>
      </c>
      <c r="D401" s="2">
        <v>1.54</v>
      </c>
      <c r="E401" s="2">
        <f>TabelaMucambo[[#This Row],[Qtde]]*TabelaMucambo[[#This Row],[Vl. Unitário]]</f>
        <v>18.48</v>
      </c>
      <c r="F401" s="7" t="str">
        <f>VLOOKUP(TabelaMucambo[[#This Row],[Código+Produto]],Base!A:C,3,0)</f>
        <v>agua sanitaria</v>
      </c>
      <c r="G401" s="8" t="str">
        <f>VLOOKUP(A401,Base!A:D,4,0)</f>
        <v>MATERIAIS DE LIMPEZA</v>
      </c>
    </row>
    <row r="402" spans="1:7" x14ac:dyDescent="0.25">
      <c r="A402" s="1" t="s">
        <v>9</v>
      </c>
      <c r="B402" s="1" t="s">
        <v>10</v>
      </c>
      <c r="C402" s="3">
        <v>24</v>
      </c>
      <c r="D402" s="2">
        <v>2.06</v>
      </c>
      <c r="E402" s="2">
        <f>TabelaMucambo[[#This Row],[Qtde]]*TabelaMucambo[[#This Row],[Vl. Unitário]]</f>
        <v>49.44</v>
      </c>
      <c r="F402" s="7" t="str">
        <f>VLOOKUP(TabelaMucambo[[#This Row],[Código+Produto]],Base!A:C,3,0)</f>
        <v>detergente liquido</v>
      </c>
      <c r="G402" s="8" t="str">
        <f>VLOOKUP(A402,Base!A:D,4,0)</f>
        <v>MATERIAIS DE LIMPEZA</v>
      </c>
    </row>
    <row r="403" spans="1:7" x14ac:dyDescent="0.25">
      <c r="A403" s="1" t="s">
        <v>9</v>
      </c>
      <c r="B403" s="1" t="s">
        <v>10</v>
      </c>
      <c r="C403" s="3">
        <v>24</v>
      </c>
      <c r="D403" s="2">
        <v>2.06</v>
      </c>
      <c r="E403" s="2">
        <f>TabelaMucambo[[#This Row],[Qtde]]*TabelaMucambo[[#This Row],[Vl. Unitário]]</f>
        <v>49.44</v>
      </c>
      <c r="F403" s="7" t="str">
        <f>VLOOKUP(TabelaMucambo[[#This Row],[Código+Produto]],Base!A:C,3,0)</f>
        <v>detergente liquido</v>
      </c>
      <c r="G403" s="8" t="str">
        <f>VLOOKUP(A403,Base!A:D,4,0)</f>
        <v>MATERIAIS DE LIMPEZA</v>
      </c>
    </row>
    <row r="404" spans="1:7" x14ac:dyDescent="0.25">
      <c r="A404" s="1" t="s">
        <v>9</v>
      </c>
      <c r="B404" s="1" t="s">
        <v>10</v>
      </c>
      <c r="C404" s="3">
        <v>24</v>
      </c>
      <c r="D404" s="2">
        <v>2.06</v>
      </c>
      <c r="E404" s="2">
        <f>TabelaMucambo[[#This Row],[Qtde]]*TabelaMucambo[[#This Row],[Vl. Unitário]]</f>
        <v>49.44</v>
      </c>
      <c r="F404" s="7" t="str">
        <f>VLOOKUP(TabelaMucambo[[#This Row],[Código+Produto]],Base!A:C,3,0)</f>
        <v>detergente liquido</v>
      </c>
      <c r="G404" s="8" t="str">
        <f>VLOOKUP(A404,Base!A:D,4,0)</f>
        <v>MATERIAIS DE LIMPEZA</v>
      </c>
    </row>
    <row r="405" spans="1:7" x14ac:dyDescent="0.25">
      <c r="A405" s="1" t="s">
        <v>9</v>
      </c>
      <c r="B405" s="1" t="s">
        <v>10</v>
      </c>
      <c r="C405" s="3">
        <v>24</v>
      </c>
      <c r="D405" s="2">
        <v>3</v>
      </c>
      <c r="E405" s="2">
        <f>TabelaMucambo[[#This Row],[Qtde]]*TabelaMucambo[[#This Row],[Vl. Unitário]]</f>
        <v>72</v>
      </c>
      <c r="F405" s="7" t="str">
        <f>VLOOKUP(TabelaMucambo[[#This Row],[Código+Produto]],Base!A:C,3,0)</f>
        <v>detergente liquido</v>
      </c>
      <c r="G405" s="8" t="str">
        <f>VLOOKUP(A405,Base!A:D,4,0)</f>
        <v>MATERIAIS DE LIMPEZA</v>
      </c>
    </row>
    <row r="406" spans="1:7" x14ac:dyDescent="0.25">
      <c r="A406" s="1" t="s">
        <v>9</v>
      </c>
      <c r="B406" s="1" t="s">
        <v>10</v>
      </c>
      <c r="C406" s="3">
        <v>7</v>
      </c>
      <c r="D406" s="2">
        <v>2.06</v>
      </c>
      <c r="E406" s="2">
        <f>TabelaMucambo[[#This Row],[Qtde]]*TabelaMucambo[[#This Row],[Vl. Unitário]]</f>
        <v>14.42</v>
      </c>
      <c r="F406" s="7" t="str">
        <f>VLOOKUP(TabelaMucambo[[#This Row],[Código+Produto]],Base!A:C,3,0)</f>
        <v>detergente liquido</v>
      </c>
      <c r="G406" s="8" t="str">
        <f>VLOOKUP(A406,Base!A:D,4,0)</f>
        <v>MATERIAIS DE LIMPEZA</v>
      </c>
    </row>
    <row r="407" spans="1:7" x14ac:dyDescent="0.25">
      <c r="A407" s="1" t="s">
        <v>9</v>
      </c>
      <c r="B407" s="1" t="s">
        <v>10</v>
      </c>
      <c r="C407" s="3">
        <v>24</v>
      </c>
      <c r="D407" s="2">
        <v>2.06</v>
      </c>
      <c r="E407" s="2">
        <f>TabelaMucambo[[#This Row],[Qtde]]*TabelaMucambo[[#This Row],[Vl. Unitário]]</f>
        <v>49.44</v>
      </c>
      <c r="F407" s="7" t="str">
        <f>VLOOKUP(TabelaMucambo[[#This Row],[Código+Produto]],Base!A:C,3,0)</f>
        <v>detergente liquido</v>
      </c>
      <c r="G407" s="8" t="str">
        <f>VLOOKUP(A407,Base!A:D,4,0)</f>
        <v>MATERIAIS DE LIMPEZA</v>
      </c>
    </row>
    <row r="408" spans="1:7" x14ac:dyDescent="0.25">
      <c r="A408" s="1" t="s">
        <v>1212</v>
      </c>
      <c r="B408" s="1" t="s">
        <v>14</v>
      </c>
      <c r="C408" s="3">
        <v>10</v>
      </c>
      <c r="D408" s="2">
        <v>0.7</v>
      </c>
      <c r="E408" s="2">
        <f>TabelaMucambo[[#This Row],[Qtde]]*TabelaMucambo[[#This Row],[Vl. Unitário]]</f>
        <v>7</v>
      </c>
      <c r="F408" s="7" t="str">
        <f>VLOOKUP(TabelaMucambo[[#This Row],[Código+Produto]],Base!A:C,3,0)</f>
        <v>esponja de lavar louca</v>
      </c>
      <c r="G408" s="8" t="str">
        <f>VLOOKUP(A408,Base!A:D,4,0)</f>
        <v>MATERIAIS DE LIMPEZA</v>
      </c>
    </row>
    <row r="409" spans="1:7" x14ac:dyDescent="0.25">
      <c r="A409" s="1" t="s">
        <v>1212</v>
      </c>
      <c r="B409" s="1" t="s">
        <v>14</v>
      </c>
      <c r="C409" s="3">
        <v>10</v>
      </c>
      <c r="D409" s="2">
        <v>0.7</v>
      </c>
      <c r="E409" s="2">
        <f>TabelaMucambo[[#This Row],[Qtde]]*TabelaMucambo[[#This Row],[Vl. Unitário]]</f>
        <v>7</v>
      </c>
      <c r="F409" s="7" t="str">
        <f>VLOOKUP(TabelaMucambo[[#This Row],[Código+Produto]],Base!A:C,3,0)</f>
        <v>esponja de lavar louca</v>
      </c>
      <c r="G409" s="8" t="str">
        <f>VLOOKUP(A409,Base!A:D,4,0)</f>
        <v>MATERIAIS DE LIMPEZA</v>
      </c>
    </row>
    <row r="410" spans="1:7" x14ac:dyDescent="0.25">
      <c r="A410" s="1" t="s">
        <v>1203</v>
      </c>
      <c r="B410" s="1" t="s">
        <v>1204</v>
      </c>
      <c r="C410" s="3">
        <v>3</v>
      </c>
      <c r="D410" s="2">
        <v>3.38</v>
      </c>
      <c r="E410" s="2">
        <f>TabelaMucambo[[#This Row],[Qtde]]*TabelaMucambo[[#This Row],[Vl. Unitário]]</f>
        <v>10.14</v>
      </c>
      <c r="F410" s="7" t="str">
        <f>VLOOKUP(TabelaMucambo[[#This Row],[Código+Produto]],Base!A:C,3,0)</f>
        <v>papel higienico</v>
      </c>
      <c r="G410" s="8" t="str">
        <f>VLOOKUP(A410,Base!A:D,4,0)</f>
        <v>MATERIAIS DE LIMPEZA</v>
      </c>
    </row>
    <row r="411" spans="1:7" x14ac:dyDescent="0.25">
      <c r="A411" s="1" t="s">
        <v>1203</v>
      </c>
      <c r="B411" s="1" t="s">
        <v>1204</v>
      </c>
      <c r="C411" s="3">
        <v>4</v>
      </c>
      <c r="D411" s="2">
        <v>3.38</v>
      </c>
      <c r="E411" s="2">
        <f>TabelaMucambo[[#This Row],[Qtde]]*TabelaMucambo[[#This Row],[Vl. Unitário]]</f>
        <v>13.52</v>
      </c>
      <c r="F411" s="7" t="str">
        <f>VLOOKUP(TabelaMucambo[[#This Row],[Código+Produto]],Base!A:C,3,0)</f>
        <v>papel higienico</v>
      </c>
      <c r="G411" s="8" t="str">
        <f>VLOOKUP(A411,Base!A:D,4,0)</f>
        <v>MATERIAIS DE LIMPEZA</v>
      </c>
    </row>
    <row r="412" spans="1:7" x14ac:dyDescent="0.25">
      <c r="A412" s="1" t="s">
        <v>1203</v>
      </c>
      <c r="B412" s="1" t="s">
        <v>1204</v>
      </c>
      <c r="C412" s="3">
        <v>1</v>
      </c>
      <c r="D412" s="2">
        <v>3.38</v>
      </c>
      <c r="E412" s="2">
        <f>TabelaMucambo[[#This Row],[Qtde]]*TabelaMucambo[[#This Row],[Vl. Unitário]]</f>
        <v>3.38</v>
      </c>
      <c r="F412" s="7" t="str">
        <f>VLOOKUP(TabelaMucambo[[#This Row],[Código+Produto]],Base!A:C,3,0)</f>
        <v>papel higienico</v>
      </c>
      <c r="G412" s="8" t="str">
        <f>VLOOKUP(A412,Base!A:D,4,0)</f>
        <v>MATERIAIS DE LIMPEZA</v>
      </c>
    </row>
    <row r="413" spans="1:7" x14ac:dyDescent="0.25">
      <c r="A413" s="1" t="s">
        <v>1200</v>
      </c>
      <c r="B413" s="1" t="s">
        <v>1201</v>
      </c>
      <c r="C413" s="3">
        <v>4</v>
      </c>
      <c r="D413" s="2">
        <v>2.23</v>
      </c>
      <c r="E413" s="2">
        <f>TabelaMucambo[[#This Row],[Qtde]]*TabelaMucambo[[#This Row],[Vl. Unitário]]</f>
        <v>8.92</v>
      </c>
      <c r="F413" s="7" t="str">
        <f>VLOOKUP(TabelaMucambo[[#This Row],[Código+Produto]],Base!A:C,3,0)</f>
        <v>papel toalha</v>
      </c>
      <c r="G413" s="8" t="str">
        <f>VLOOKUP(A413,Base!A:D,4,0)</f>
        <v>GUARDANAPOS E PAPEL TOALHA</v>
      </c>
    </row>
    <row r="414" spans="1:7" x14ac:dyDescent="0.25">
      <c r="A414" s="1" t="s">
        <v>1200</v>
      </c>
      <c r="B414" s="1" t="s">
        <v>1201</v>
      </c>
      <c r="C414" s="3">
        <v>3</v>
      </c>
      <c r="D414" s="2">
        <v>2.23</v>
      </c>
      <c r="E414" s="2">
        <f>TabelaMucambo[[#This Row],[Qtde]]*TabelaMucambo[[#This Row],[Vl. Unitário]]</f>
        <v>6.6899999999999995</v>
      </c>
      <c r="F414" s="7" t="str">
        <f>VLOOKUP(TabelaMucambo[[#This Row],[Código+Produto]],Base!A:C,3,0)</f>
        <v>papel toalha</v>
      </c>
      <c r="G414" s="8" t="str">
        <f>VLOOKUP(A414,Base!A:D,4,0)</f>
        <v>GUARDANAPOS E PAPEL TOALHA</v>
      </c>
    </row>
    <row r="415" spans="1:7" x14ac:dyDescent="0.25">
      <c r="A415" s="1" t="s">
        <v>1200</v>
      </c>
      <c r="B415" s="1" t="s">
        <v>1201</v>
      </c>
      <c r="C415" s="3">
        <v>4</v>
      </c>
      <c r="D415" s="2">
        <v>2.23</v>
      </c>
      <c r="E415" s="2">
        <f>TabelaMucambo[[#This Row],[Qtde]]*TabelaMucambo[[#This Row],[Vl. Unitário]]</f>
        <v>8.92</v>
      </c>
      <c r="F415" s="7" t="str">
        <f>VLOOKUP(TabelaMucambo[[#This Row],[Código+Produto]],Base!A:C,3,0)</f>
        <v>papel toalha</v>
      </c>
      <c r="G415" s="8" t="str">
        <f>VLOOKUP(A415,Base!A:D,4,0)</f>
        <v>GUARDANAPOS E PAPEL TOALHA</v>
      </c>
    </row>
    <row r="416" spans="1:7" x14ac:dyDescent="0.25">
      <c r="A416" s="1" t="s">
        <v>18</v>
      </c>
      <c r="B416" s="1" t="s">
        <v>1</v>
      </c>
      <c r="C416" s="3">
        <v>4.0599999999999996</v>
      </c>
      <c r="D416" s="2">
        <v>6</v>
      </c>
      <c r="E416" s="2">
        <f>TabelaMucambo[[#This Row],[Qtde]]*TabelaMucambo[[#This Row],[Vl. Unitário]]</f>
        <v>24.36</v>
      </c>
      <c r="F416" s="7" t="str">
        <f>VLOOKUP(TabelaMucambo[[#This Row],[Código+Produto]],Base!A:C,3,0)</f>
        <v>prep aipim limpo e cozido</v>
      </c>
      <c r="G416" s="8" t="str">
        <f>VLOOKUP(A416,Base!A:D,4,0)</f>
        <v>PRE PREPARO COZINHA</v>
      </c>
    </row>
    <row r="417" spans="1:7" x14ac:dyDescent="0.25">
      <c r="A417" s="1" t="s">
        <v>18</v>
      </c>
      <c r="B417" s="1" t="s">
        <v>1</v>
      </c>
      <c r="C417" s="3">
        <v>5.4</v>
      </c>
      <c r="D417" s="2">
        <v>5</v>
      </c>
      <c r="E417" s="2">
        <f>TabelaMucambo[[#This Row],[Qtde]]*TabelaMucambo[[#This Row],[Vl. Unitário]]</f>
        <v>27</v>
      </c>
      <c r="F417" s="7" t="str">
        <f>VLOOKUP(TabelaMucambo[[#This Row],[Código+Produto]],Base!A:C,3,0)</f>
        <v>prep aipim limpo e cozido</v>
      </c>
      <c r="G417" s="8" t="str">
        <f>VLOOKUP(A417,Base!A:D,4,0)</f>
        <v>PRE PREPARO COZINHA</v>
      </c>
    </row>
    <row r="418" spans="1:7" x14ac:dyDescent="0.25">
      <c r="A418" s="1" t="s">
        <v>1219</v>
      </c>
      <c r="B418" s="1" t="s">
        <v>6</v>
      </c>
      <c r="C418" s="3">
        <v>3</v>
      </c>
      <c r="D418" s="2">
        <v>21.516500000000001</v>
      </c>
      <c r="E418" s="2">
        <f>TabelaMucambo[[#This Row],[Qtde]]*TabelaMucambo[[#This Row],[Vl. Unitário]]</f>
        <v>64.549499999999995</v>
      </c>
      <c r="F418" s="40" t="str">
        <f>VLOOKUP(TabelaMucambo[[#This Row],[Código+Produto]],Base!A:C,3,0)</f>
        <v>cachaca velho barreiro mp</v>
      </c>
      <c r="G418" s="8" t="str">
        <f>VLOOKUP(A418,Base!A:D,4,0)</f>
        <v>CACHACAS</v>
      </c>
    </row>
    <row r="419" spans="1:7" x14ac:dyDescent="0.25">
      <c r="A419" s="1" t="s">
        <v>1240</v>
      </c>
      <c r="B419" s="1" t="s">
        <v>1241</v>
      </c>
      <c r="C419" s="3">
        <v>2</v>
      </c>
      <c r="D419" s="2">
        <v>16.405000000000001</v>
      </c>
      <c r="E419" s="2">
        <f>TabelaMucambo[[#This Row],[Qtde]]*TabelaMucambo[[#This Row],[Vl. Unitário]]</f>
        <v>32.81</v>
      </c>
      <c r="F419" s="7" t="str">
        <f>VLOOKUP(TabelaMucambo[[#This Row],[Código+Produto]],Base!A:C,3,0)</f>
        <v>cachaca ypioca ouro mp</v>
      </c>
      <c r="G419" s="8" t="str">
        <f>VLOOKUP(A419,Base!A:D,4,0)</f>
        <v>CACHACAS</v>
      </c>
    </row>
    <row r="420" spans="1:7" x14ac:dyDescent="0.25">
      <c r="A420" s="1" t="s">
        <v>1242</v>
      </c>
      <c r="B420" s="1" t="s">
        <v>6</v>
      </c>
      <c r="C420" s="3">
        <v>2</v>
      </c>
      <c r="D420" s="2">
        <v>12.244899999999999</v>
      </c>
      <c r="E420" s="2">
        <f>TabelaMucambo[[#This Row],[Qtde]]*TabelaMucambo[[#This Row],[Vl. Unitário]]</f>
        <v>24.489799999999999</v>
      </c>
      <c r="F420" s="7" t="str">
        <f>VLOOKUP(TabelaMucambo[[#This Row],[Código+Produto]],Base!A:C,3,0)</f>
        <v>vodka slova mp</v>
      </c>
      <c r="G420" s="8" t="str">
        <f>VLOOKUP(A420,Base!A:D,4,0)</f>
        <v>VODKAS</v>
      </c>
    </row>
    <row r="421" spans="1:7" x14ac:dyDescent="0.25">
      <c r="A421" s="1" t="s">
        <v>1242</v>
      </c>
      <c r="B421" s="1" t="s">
        <v>6</v>
      </c>
      <c r="C421" s="3">
        <v>3</v>
      </c>
      <c r="D421" s="2">
        <v>11.6531</v>
      </c>
      <c r="E421" s="2">
        <f>TabelaMucambo[[#This Row],[Qtde]]*TabelaMucambo[[#This Row],[Vl. Unitário]]</f>
        <v>34.959299999999999</v>
      </c>
      <c r="F421" s="40" t="str">
        <f>VLOOKUP(TabelaMucambo[[#This Row],[Código+Produto]],Base!A:C,3,0)</f>
        <v>vodka slova mp</v>
      </c>
      <c r="G421" s="8" t="str">
        <f>VLOOKUP(A421,Base!A:D,4,0)</f>
        <v>VODKAS</v>
      </c>
    </row>
    <row r="422" spans="1:7" x14ac:dyDescent="0.25">
      <c r="A422" s="1" t="s">
        <v>1234</v>
      </c>
      <c r="B422" s="1" t="s">
        <v>6</v>
      </c>
      <c r="C422" s="3">
        <v>2</v>
      </c>
      <c r="D422" s="2">
        <v>35.5</v>
      </c>
      <c r="E422" s="2">
        <f>TabelaMucambo[[#This Row],[Qtde]]*TabelaMucambo[[#This Row],[Vl. Unitário]]</f>
        <v>71</v>
      </c>
      <c r="F422" s="7" t="str">
        <f>VLOOKUP(TabelaMucambo[[#This Row],[Código+Produto]],Base!A:C,3,0)</f>
        <v>vodka smirnoff mp</v>
      </c>
      <c r="G422" s="8" t="str">
        <f>VLOOKUP(A422,Base!A:D,4,0)</f>
        <v>VODKAS</v>
      </c>
    </row>
    <row r="423" spans="1:7" x14ac:dyDescent="0.25">
      <c r="A423" s="1" t="s">
        <v>1202</v>
      </c>
      <c r="B423" s="1" t="s">
        <v>1</v>
      </c>
      <c r="C423" s="3">
        <v>1.8</v>
      </c>
      <c r="D423" s="2">
        <v>24.222200000000001</v>
      </c>
      <c r="E423" s="2">
        <f>TabelaMucambo[[#This Row],[Qtde]]*TabelaMucambo[[#This Row],[Vl. Unitário]]</f>
        <v>43.599960000000003</v>
      </c>
      <c r="F423" s="7" t="str">
        <f>VLOOKUP(TabelaMucambo[[#This Row],[Código+Produto]],Base!A:C,3,0)</f>
        <v>mistura de requeijao mp</v>
      </c>
      <c r="G423" s="8" t="str">
        <f>VLOOKUP(A423,Base!A:D,4,0)</f>
        <v>LATICINIOS</v>
      </c>
    </row>
    <row r="424" spans="1:7" x14ac:dyDescent="0.25">
      <c r="A424" s="1" t="s">
        <v>1202</v>
      </c>
      <c r="B424" s="1" t="s">
        <v>1</v>
      </c>
      <c r="C424" s="3">
        <v>1.8</v>
      </c>
      <c r="D424" s="2">
        <v>24.222200000000001</v>
      </c>
      <c r="E424" s="2">
        <f>TabelaMucambo[[#This Row],[Qtde]]*TabelaMucambo[[#This Row],[Vl. Unitário]]</f>
        <v>43.599960000000003</v>
      </c>
      <c r="F424" s="40" t="str">
        <f>VLOOKUP(TabelaMucambo[[#This Row],[Código+Produto]],Base!A:C,3,0)</f>
        <v>mistura de requeijao mp</v>
      </c>
      <c r="G424" s="8" t="str">
        <f>VLOOKUP(A424,Base!A:D,4,0)</f>
        <v>LATICINIOS</v>
      </c>
    </row>
    <row r="425" spans="1:7" x14ac:dyDescent="0.25">
      <c r="A425" s="1" t="s">
        <v>20</v>
      </c>
      <c r="B425" s="1" t="s">
        <v>1</v>
      </c>
      <c r="C425" s="3">
        <v>6.3</v>
      </c>
      <c r="D425" s="2">
        <v>4.9016000000000002</v>
      </c>
      <c r="E425" s="2">
        <f>TabelaMucambo[[#This Row],[Qtde]]*TabelaMucambo[[#This Row],[Vl. Unitário]]</f>
        <v>30.88008</v>
      </c>
      <c r="F425" s="7" t="str">
        <f>VLOOKUP(TabelaMucambo[[#This Row],[Código+Produto]],Base!A:C,3,0)</f>
        <v>prep farofa</v>
      </c>
      <c r="G425" s="8" t="str">
        <f>VLOOKUP(A425,Base!A:D,4,0)</f>
        <v>PRE PREPARO COZINHA</v>
      </c>
    </row>
    <row r="426" spans="1:7" x14ac:dyDescent="0.25">
      <c r="A426" s="1" t="s">
        <v>20</v>
      </c>
      <c r="B426" s="1" t="s">
        <v>1</v>
      </c>
      <c r="C426" s="3">
        <v>8</v>
      </c>
      <c r="D426" s="2">
        <v>4.9016000000000002</v>
      </c>
      <c r="E426" s="2">
        <f>TabelaMucambo[[#This Row],[Qtde]]*TabelaMucambo[[#This Row],[Vl. Unitário]]</f>
        <v>39.212800000000001</v>
      </c>
      <c r="F426" s="7" t="str">
        <f>VLOOKUP(TabelaMucambo[[#This Row],[Código+Produto]],Base!A:C,3,0)</f>
        <v>prep farofa</v>
      </c>
      <c r="G426" s="8" t="str">
        <f>VLOOKUP(A426,Base!A:D,4,0)</f>
        <v>PRE PREPARO COZINHA</v>
      </c>
    </row>
    <row r="427" spans="1:7" x14ac:dyDescent="0.25">
      <c r="A427" s="1" t="s">
        <v>20</v>
      </c>
      <c r="B427" s="1" t="s">
        <v>1</v>
      </c>
      <c r="C427" s="3">
        <v>3</v>
      </c>
      <c r="D427" s="2">
        <v>4.9016000000000002</v>
      </c>
      <c r="E427" s="2">
        <f>TabelaMucambo[[#This Row],[Qtde]]*TabelaMucambo[[#This Row],[Vl. Unitário]]</f>
        <v>14.704800000000001</v>
      </c>
      <c r="F427" s="7" t="str">
        <f>VLOOKUP(TabelaMucambo[[#This Row],[Código+Produto]],Base!A:C,3,0)</f>
        <v>prep farofa</v>
      </c>
      <c r="G427" s="8" t="str">
        <f>VLOOKUP(A427,Base!A:D,4,0)</f>
        <v>PRE PREPARO COZINHA</v>
      </c>
    </row>
    <row r="428" spans="1:7" x14ac:dyDescent="0.25">
      <c r="A428" s="1" t="s">
        <v>20</v>
      </c>
      <c r="B428" s="1" t="s">
        <v>1</v>
      </c>
      <c r="C428" s="3">
        <v>4.6500000000000004</v>
      </c>
      <c r="D428" s="2">
        <v>4.9016000000000002</v>
      </c>
      <c r="E428" s="2">
        <f>TabelaMucambo[[#This Row],[Qtde]]*TabelaMucambo[[#This Row],[Vl. Unitário]]</f>
        <v>22.792440000000003</v>
      </c>
      <c r="F428" s="7" t="str">
        <f>VLOOKUP(TabelaMucambo[[#This Row],[Código+Produto]],Base!A:C,3,0)</f>
        <v>prep farofa</v>
      </c>
      <c r="G428" s="8" t="str">
        <f>VLOOKUP(A428,Base!A:D,4,0)</f>
        <v>PRE PREPARO COZINHA</v>
      </c>
    </row>
    <row r="429" spans="1:7" x14ac:dyDescent="0.25">
      <c r="A429" s="1" t="s">
        <v>20</v>
      </c>
      <c r="B429" s="1" t="s">
        <v>1</v>
      </c>
      <c r="C429" s="3">
        <v>5.55</v>
      </c>
      <c r="D429" s="2">
        <v>4.9016000000000002</v>
      </c>
      <c r="E429" s="2">
        <f>TabelaMucambo[[#This Row],[Qtde]]*TabelaMucambo[[#This Row],[Vl. Unitário]]</f>
        <v>27.203880000000002</v>
      </c>
      <c r="F429" s="7" t="str">
        <f>VLOOKUP(TabelaMucambo[[#This Row],[Código+Produto]],Base!A:C,3,0)</f>
        <v>prep farofa</v>
      </c>
      <c r="G429" s="8" t="str">
        <f>VLOOKUP(A429,Base!A:D,4,0)</f>
        <v>PRE PREPARO COZINHA</v>
      </c>
    </row>
    <row r="430" spans="1:7" x14ac:dyDescent="0.25">
      <c r="A430" s="1" t="s">
        <v>20</v>
      </c>
      <c r="B430" s="1" t="s">
        <v>1</v>
      </c>
      <c r="C430" s="3">
        <v>9.3000000000000007</v>
      </c>
      <c r="D430" s="2">
        <v>4.9016000000000002</v>
      </c>
      <c r="E430" s="2">
        <f>TabelaMucambo[[#This Row],[Qtde]]*TabelaMucambo[[#This Row],[Vl. Unitário]]</f>
        <v>45.584880000000005</v>
      </c>
      <c r="F430" s="7" t="str">
        <f>VLOOKUP(TabelaMucambo[[#This Row],[Código+Produto]],Base!A:C,3,0)</f>
        <v>prep farofa</v>
      </c>
      <c r="G430" s="8" t="str">
        <f>VLOOKUP(A430,Base!A:D,4,0)</f>
        <v>PRE PREPARO COZINHA</v>
      </c>
    </row>
    <row r="431" spans="1:7" x14ac:dyDescent="0.25">
      <c r="A431" s="1" t="s">
        <v>1220</v>
      </c>
      <c r="B431" s="1" t="s">
        <v>14</v>
      </c>
      <c r="C431" s="3">
        <v>10</v>
      </c>
      <c r="D431" s="2">
        <v>2.25</v>
      </c>
      <c r="E431" s="2">
        <f>TabelaMucambo[[#This Row],[Qtde]]*TabelaMucambo[[#This Row],[Vl. Unitário]]</f>
        <v>22.5</v>
      </c>
      <c r="F431" s="7" t="str">
        <f>VLOOKUP(TabelaMucambo[[#This Row],[Código+Produto]],Base!A:C,3,0)</f>
        <v>coco verde mp</v>
      </c>
      <c r="G431" s="8" t="str">
        <f>VLOOKUP(A431,Base!A:D,4,0)</f>
        <v>HORTIFRUTI</v>
      </c>
    </row>
    <row r="432" spans="1:7" x14ac:dyDescent="0.25">
      <c r="A432" s="1" t="s">
        <v>1229</v>
      </c>
      <c r="B432" s="1" t="s">
        <v>14</v>
      </c>
      <c r="C432" s="3">
        <v>10</v>
      </c>
      <c r="D432" s="2">
        <v>7</v>
      </c>
      <c r="E432" s="2">
        <f>TabelaMucambo[[#This Row],[Qtde]]*TabelaMucambo[[#This Row],[Vl. Unitário]]</f>
        <v>70</v>
      </c>
      <c r="F432" s="7" t="str">
        <f>VLOOKUP(TabelaMucambo[[#This Row],[Código+Produto]],Base!A:C,3,0)</f>
        <v>PETIT GATEAU COM SORVETE</v>
      </c>
      <c r="G432" s="8" t="str">
        <f>VLOOKUP(A432,Base!A:D,4,0)</f>
        <v>BOLOS E TORTAS</v>
      </c>
    </row>
  </sheetData>
  <mergeCells count="49">
    <mergeCell ref="I110:K110"/>
    <mergeCell ref="I112:K112"/>
    <mergeCell ref="J12:J13"/>
    <mergeCell ref="J41:J42"/>
    <mergeCell ref="J75:J76"/>
    <mergeCell ref="J94:J95"/>
    <mergeCell ref="I97:I98"/>
    <mergeCell ref="I99:K99"/>
    <mergeCell ref="I101:K101"/>
    <mergeCell ref="I103:K103"/>
    <mergeCell ref="I105:K105"/>
    <mergeCell ref="I54:K54"/>
    <mergeCell ref="I55:I60"/>
    <mergeCell ref="I61:K61"/>
    <mergeCell ref="I62:I70"/>
    <mergeCell ref="I71:K71"/>
    <mergeCell ref="I10:K10"/>
    <mergeCell ref="I11:I14"/>
    <mergeCell ref="I15:K15"/>
    <mergeCell ref="I16:I18"/>
    <mergeCell ref="I19:K19"/>
    <mergeCell ref="I107:K107"/>
    <mergeCell ref="I90:K90"/>
    <mergeCell ref="I91:I92"/>
    <mergeCell ref="I93:K93"/>
    <mergeCell ref="I94:I95"/>
    <mergeCell ref="I96:K96"/>
    <mergeCell ref="I72:I73"/>
    <mergeCell ref="I74:K74"/>
    <mergeCell ref="I75:I76"/>
    <mergeCell ref="I77:K77"/>
    <mergeCell ref="I78:I79"/>
    <mergeCell ref="I80:K80"/>
    <mergeCell ref="I82:K82"/>
    <mergeCell ref="I83:I86"/>
    <mergeCell ref="I20:I34"/>
    <mergeCell ref="I35:K35"/>
    <mergeCell ref="I36:I48"/>
    <mergeCell ref="I108:I109"/>
    <mergeCell ref="I87:K87"/>
    <mergeCell ref="I88:I89"/>
    <mergeCell ref="I49:K49"/>
    <mergeCell ref="I51:K51"/>
    <mergeCell ref="I52:I53"/>
    <mergeCell ref="A1:G4"/>
    <mergeCell ref="I1:L4"/>
    <mergeCell ref="M1:N2"/>
    <mergeCell ref="M3:N4"/>
    <mergeCell ref="I6:I9"/>
  </mergeCells>
  <pageMargins left="0.23622047244094491" right="0.23622047244094491" top="0.23622047244094491" bottom="0.23622047244094491" header="0" footer="0"/>
  <pageSetup paperSize="9" scale="92" fitToHeight="0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6B38-A755-4D61-B13C-A4E359C99DF5}">
  <sheetPr>
    <pageSetUpPr fitToPage="1"/>
  </sheetPr>
  <dimension ref="A1:P352"/>
  <sheetViews>
    <sheetView topLeftCell="D1" workbookViewId="0">
      <selection activeCell="M1" sqref="M1:N2"/>
    </sheetView>
  </sheetViews>
  <sheetFormatPr defaultRowHeight="15" x14ac:dyDescent="0.25"/>
  <cols>
    <col min="1" max="1" width="35.28515625" bestFit="1" customWidth="1"/>
    <col min="2" max="2" width="6.42578125" bestFit="1" customWidth="1"/>
    <col min="3" max="3" width="7.5703125" bestFit="1" customWidth="1"/>
    <col min="4" max="4" width="12.140625" bestFit="1" customWidth="1"/>
    <col min="5" max="5" width="14.28515625" bestFit="1" customWidth="1"/>
    <col min="6" max="6" width="32.85546875" bestFit="1" customWidth="1"/>
    <col min="7" max="7" width="29.42578125" bestFit="1" customWidth="1"/>
    <col min="9" max="9" width="23.42578125" bestFit="1" customWidth="1"/>
    <col min="10" max="10" width="31.42578125" bestFit="1" customWidth="1"/>
    <col min="11" max="11" width="8.28515625" bestFit="1" customWidth="1"/>
    <col min="12" max="12" width="11.42578125" bestFit="1" customWidth="1"/>
    <col min="13" max="14" width="13.28515625" bestFit="1" customWidth="1"/>
  </cols>
  <sheetData>
    <row r="1" spans="1:16" ht="15" customHeight="1" x14ac:dyDescent="0.25">
      <c r="A1" s="11" t="s">
        <v>1192</v>
      </c>
      <c r="B1" s="12"/>
      <c r="C1" s="12"/>
      <c r="D1" s="12"/>
      <c r="E1" s="12"/>
      <c r="F1" s="12"/>
      <c r="G1" s="13"/>
      <c r="I1" s="34" t="s">
        <v>1254</v>
      </c>
      <c r="J1" s="35"/>
      <c r="K1" s="35"/>
      <c r="L1" s="35"/>
      <c r="M1" s="26" t="s">
        <v>1191</v>
      </c>
      <c r="N1" s="27"/>
    </row>
    <row r="2" spans="1:16" ht="15" customHeight="1" x14ac:dyDescent="0.25">
      <c r="A2" s="14"/>
      <c r="B2" s="15"/>
      <c r="C2" s="15"/>
      <c r="D2" s="15"/>
      <c r="E2" s="15"/>
      <c r="F2" s="15"/>
      <c r="G2" s="16"/>
      <c r="I2" s="36"/>
      <c r="J2" s="37"/>
      <c r="K2" s="37"/>
      <c r="L2" s="37"/>
      <c r="M2" s="28"/>
      <c r="N2" s="29"/>
    </row>
    <row r="3" spans="1:16" ht="15" customHeight="1" x14ac:dyDescent="0.25">
      <c r="A3" s="14"/>
      <c r="B3" s="15"/>
      <c r="C3" s="15"/>
      <c r="D3" s="15"/>
      <c r="E3" s="15"/>
      <c r="F3" s="15"/>
      <c r="G3" s="16"/>
      <c r="I3" s="36"/>
      <c r="J3" s="37"/>
      <c r="K3" s="37"/>
      <c r="L3" s="37"/>
      <c r="M3" s="30">
        <f>SUM(N6:N1048576)</f>
        <v>55885.84038899999</v>
      </c>
      <c r="N3" s="31"/>
      <c r="P3">
        <v>39621.933250500006</v>
      </c>
    </row>
    <row r="4" spans="1:16" ht="15" customHeight="1" x14ac:dyDescent="0.25">
      <c r="A4" s="17"/>
      <c r="B4" s="18"/>
      <c r="C4" s="18"/>
      <c r="D4" s="18"/>
      <c r="E4" s="18"/>
      <c r="F4" s="18"/>
      <c r="G4" s="19"/>
      <c r="I4" s="38"/>
      <c r="J4" s="39"/>
      <c r="K4" s="39"/>
      <c r="L4" s="39"/>
      <c r="M4" s="32"/>
      <c r="N4" s="33"/>
    </row>
    <row r="5" spans="1:16" x14ac:dyDescent="0.25">
      <c r="A5" s="1" t="s">
        <v>1186</v>
      </c>
      <c r="B5" s="1" t="s">
        <v>14</v>
      </c>
      <c r="C5" s="1" t="s">
        <v>59</v>
      </c>
      <c r="D5" s="1" t="s">
        <v>60</v>
      </c>
      <c r="E5" s="1" t="s">
        <v>61</v>
      </c>
      <c r="F5" s="1" t="s">
        <v>58</v>
      </c>
      <c r="G5" s="1" t="s">
        <v>1185</v>
      </c>
      <c r="I5" s="4" t="s">
        <v>1187</v>
      </c>
      <c r="J5" s="4" t="s">
        <v>58</v>
      </c>
      <c r="K5" s="4" t="s">
        <v>14</v>
      </c>
      <c r="L5" s="1" t="s">
        <v>1188</v>
      </c>
      <c r="M5" s="1" t="s">
        <v>1189</v>
      </c>
      <c r="N5" s="1" t="s">
        <v>1190</v>
      </c>
    </row>
    <row r="6" spans="1:16" x14ac:dyDescent="0.25">
      <c r="A6" s="1" t="s">
        <v>1231</v>
      </c>
      <c r="B6" s="1" t="s">
        <v>1</v>
      </c>
      <c r="C6" s="3">
        <v>13.3</v>
      </c>
      <c r="D6" s="2">
        <v>30.630099999999999</v>
      </c>
      <c r="E6" s="2">
        <f>TabelaFrecheirinha[[#This Row],[Qtde]]*TabelaFrecheirinha[[#This Row],[Vl. Unitário]]</f>
        <v>407.38033000000001</v>
      </c>
      <c r="F6" s="7" t="str">
        <f>VLOOKUP(TabelaFrecheirinha[[#This Row],[Código+Produto]],Base!A:C,3,0)</f>
        <v>capa de contra file mp</v>
      </c>
      <c r="G6" s="8" t="str">
        <f>VLOOKUP(A6,Base!A:D,4,0)</f>
        <v>CARNES BOVINAS</v>
      </c>
      <c r="I6" s="9" t="s">
        <v>548</v>
      </c>
      <c r="J6" s="6" t="s">
        <v>549</v>
      </c>
      <c r="K6" s="6" t="s">
        <v>1</v>
      </c>
      <c r="L6" s="3">
        <v>305</v>
      </c>
      <c r="M6" s="5">
        <v>41.533999999999999</v>
      </c>
      <c r="N6" s="5">
        <v>12708.7585</v>
      </c>
    </row>
    <row r="7" spans="1:16" x14ac:dyDescent="0.25">
      <c r="A7" s="1" t="s">
        <v>1216</v>
      </c>
      <c r="B7" s="1" t="s">
        <v>14</v>
      </c>
      <c r="C7" s="3">
        <v>12</v>
      </c>
      <c r="D7" s="2">
        <v>9</v>
      </c>
      <c r="E7" s="2">
        <f>TabelaFrecheirinha[[#This Row],[Qtde]]*TabelaFrecheirinha[[#This Row],[Vl. Unitário]]</f>
        <v>108</v>
      </c>
      <c r="F7" s="7" t="str">
        <f>VLOOKUP(TabelaFrecheirinha[[#This Row],[Código+Produto]],Base!A:C,3,0)</f>
        <v>PUDIM DE LEITE CONDENSADO</v>
      </c>
      <c r="G7" s="8" t="str">
        <f>VLOOKUP(A7,Base!A:D,4,0)</f>
        <v>PUDINS</v>
      </c>
      <c r="I7" s="10" t="s">
        <v>548</v>
      </c>
      <c r="J7" s="6" t="s">
        <v>553</v>
      </c>
      <c r="K7" s="6" t="s">
        <v>1</v>
      </c>
      <c r="L7" s="3">
        <v>29.55</v>
      </c>
      <c r="M7" s="5">
        <v>92.174480000000003</v>
      </c>
      <c r="N7" s="5">
        <v>2723.7280799999999</v>
      </c>
    </row>
    <row r="8" spans="1:16" x14ac:dyDescent="0.25">
      <c r="A8" s="1" t="s">
        <v>24</v>
      </c>
      <c r="B8" s="1" t="s">
        <v>1</v>
      </c>
      <c r="C8" s="3">
        <v>3.8</v>
      </c>
      <c r="D8" s="2">
        <v>46.906700000000001</v>
      </c>
      <c r="E8" s="2">
        <f>TabelaFrecheirinha[[#This Row],[Qtde]]*TabelaFrecheirinha[[#This Row],[Vl. Unitário]]</f>
        <v>178.24546000000001</v>
      </c>
      <c r="F8" s="7" t="str">
        <f>VLOOKUP(TabelaFrecheirinha[[#This Row],[Código+Produto]],Base!A:C,3,0)</f>
        <v>carne de sol mp</v>
      </c>
      <c r="G8" s="8" t="str">
        <f>VLOOKUP(A8,Base!A:D,4,0)</f>
        <v>CARNES BOVINAS</v>
      </c>
      <c r="I8" s="10" t="s">
        <v>548</v>
      </c>
      <c r="J8" s="6" t="s">
        <v>551</v>
      </c>
      <c r="K8" s="6" t="s">
        <v>1</v>
      </c>
      <c r="L8" s="3">
        <v>27.950000000000003</v>
      </c>
      <c r="M8" s="5">
        <v>64.997550000000004</v>
      </c>
      <c r="N8" s="5">
        <v>1816.6892400000002</v>
      </c>
    </row>
    <row r="9" spans="1:16" x14ac:dyDescent="0.25">
      <c r="A9" s="1" t="s">
        <v>24</v>
      </c>
      <c r="B9" s="1" t="s">
        <v>1</v>
      </c>
      <c r="C9" s="3">
        <v>3.1</v>
      </c>
      <c r="D9" s="2">
        <v>46.906700000000001</v>
      </c>
      <c r="E9" s="2">
        <f>TabelaFrecheirinha[[#This Row],[Qtde]]*TabelaFrecheirinha[[#This Row],[Vl. Unitário]]</f>
        <v>145.41077000000001</v>
      </c>
      <c r="F9" s="7" t="str">
        <f>VLOOKUP(TabelaFrecheirinha[[#This Row],[Código+Produto]],Base!A:C,3,0)</f>
        <v>carne de sol mp</v>
      </c>
      <c r="G9" s="8" t="str">
        <f>VLOOKUP(A9,Base!A:D,4,0)</f>
        <v>CARNES BOVINAS</v>
      </c>
      <c r="I9" s="10" t="s">
        <v>548</v>
      </c>
      <c r="J9" s="6" t="s">
        <v>915</v>
      </c>
      <c r="K9" s="6" t="s">
        <v>1</v>
      </c>
      <c r="L9" s="3">
        <v>20.9</v>
      </c>
      <c r="M9" s="5">
        <v>19.5</v>
      </c>
      <c r="N9" s="5">
        <v>407.55</v>
      </c>
    </row>
    <row r="10" spans="1:16" x14ac:dyDescent="0.25">
      <c r="A10" s="1" t="s">
        <v>11</v>
      </c>
      <c r="B10" s="1" t="s">
        <v>1</v>
      </c>
      <c r="C10" s="3">
        <v>25.5</v>
      </c>
      <c r="D10" s="2">
        <v>42.89</v>
      </c>
      <c r="E10" s="2">
        <f>TabelaFrecheirinha[[#This Row],[Qtde]]*TabelaFrecheirinha[[#This Row],[Vl. Unitário]]</f>
        <v>1093.6949999999999</v>
      </c>
      <c r="F10" s="7" t="str">
        <f>VLOOKUP(TabelaFrecheirinha[[#This Row],[Código+Produto]],Base!A:C,3,0)</f>
        <v>contra file mp</v>
      </c>
      <c r="G10" s="8" t="str">
        <f>VLOOKUP(A10,Base!A:D,4,0)</f>
        <v>CARNES BOVINAS</v>
      </c>
      <c r="I10" s="10" t="s">
        <v>548</v>
      </c>
      <c r="J10" s="6" t="s">
        <v>1236</v>
      </c>
      <c r="K10" s="6" t="s">
        <v>1</v>
      </c>
      <c r="L10" s="3">
        <v>13.3</v>
      </c>
      <c r="M10" s="5">
        <v>30.630099999999999</v>
      </c>
      <c r="N10" s="5">
        <v>407.38033000000001</v>
      </c>
    </row>
    <row r="11" spans="1:16" x14ac:dyDescent="0.25">
      <c r="A11" s="1" t="s">
        <v>11</v>
      </c>
      <c r="B11" s="1" t="s">
        <v>1</v>
      </c>
      <c r="C11" s="3">
        <v>58</v>
      </c>
      <c r="D11" s="2">
        <v>42.89</v>
      </c>
      <c r="E11" s="2">
        <f>TabelaFrecheirinha[[#This Row],[Qtde]]*TabelaFrecheirinha[[#This Row],[Vl. Unitário]]</f>
        <v>2487.62</v>
      </c>
      <c r="F11" s="7" t="str">
        <f>VLOOKUP(TabelaFrecheirinha[[#This Row],[Código+Produto]],Base!A:C,3,0)</f>
        <v>contra file mp</v>
      </c>
      <c r="G11" s="8" t="str">
        <f>VLOOKUP(A11,Base!A:D,4,0)</f>
        <v>CARNES BOVINAS</v>
      </c>
      <c r="I11" s="10" t="s">
        <v>548</v>
      </c>
      <c r="J11" s="6" t="s">
        <v>547</v>
      </c>
      <c r="K11" s="6" t="s">
        <v>1</v>
      </c>
      <c r="L11" s="3">
        <v>6.9</v>
      </c>
      <c r="M11" s="5">
        <v>46.906700000000001</v>
      </c>
      <c r="N11" s="5">
        <v>323.65623000000005</v>
      </c>
    </row>
    <row r="12" spans="1:16" x14ac:dyDescent="0.25">
      <c r="A12" s="1" t="s">
        <v>11</v>
      </c>
      <c r="B12" s="1" t="s">
        <v>1</v>
      </c>
      <c r="C12" s="3">
        <v>25.9</v>
      </c>
      <c r="D12" s="2">
        <v>42.89</v>
      </c>
      <c r="E12" s="2">
        <f>TabelaFrecheirinha[[#This Row],[Qtde]]*TabelaFrecheirinha[[#This Row],[Vl. Unitário]]</f>
        <v>1110.8509999999999</v>
      </c>
      <c r="F12" s="7" t="str">
        <f>VLOOKUP(TabelaFrecheirinha[[#This Row],[Código+Produto]],Base!A:C,3,0)</f>
        <v>contra file mp</v>
      </c>
      <c r="G12" s="8" t="str">
        <f>VLOOKUP(A12,Base!A:D,4,0)</f>
        <v>CARNES BOVINAS</v>
      </c>
      <c r="I12" s="10" t="s">
        <v>548</v>
      </c>
      <c r="J12" s="6" t="s">
        <v>550</v>
      </c>
      <c r="K12" s="6" t="s">
        <v>1</v>
      </c>
      <c r="L12" s="3">
        <v>5</v>
      </c>
      <c r="M12" s="5">
        <v>26.4999</v>
      </c>
      <c r="N12" s="5">
        <v>132.49950000000001</v>
      </c>
    </row>
    <row r="13" spans="1:16" x14ac:dyDescent="0.25">
      <c r="A13" s="1" t="s">
        <v>11</v>
      </c>
      <c r="B13" s="1" t="s">
        <v>1</v>
      </c>
      <c r="C13" s="3">
        <v>27.95</v>
      </c>
      <c r="D13" s="2">
        <v>42.89</v>
      </c>
      <c r="E13" s="2">
        <f>TabelaFrecheirinha[[#This Row],[Qtde]]*TabelaFrecheirinha[[#This Row],[Vl. Unitário]]</f>
        <v>1198.7755</v>
      </c>
      <c r="F13" s="7" t="str">
        <f>VLOOKUP(TabelaFrecheirinha[[#This Row],[Código+Produto]],Base!A:C,3,0)</f>
        <v>contra file mp</v>
      </c>
      <c r="G13" s="8" t="str">
        <f>VLOOKUP(A13,Base!A:D,4,0)</f>
        <v>CARNES BOVINAS</v>
      </c>
      <c r="I13" s="9"/>
      <c r="J13" s="10"/>
      <c r="K13" s="10"/>
      <c r="L13" s="3"/>
      <c r="M13" s="5"/>
      <c r="N13" s="5"/>
    </row>
    <row r="14" spans="1:16" x14ac:dyDescent="0.25">
      <c r="A14" s="1" t="s">
        <v>11</v>
      </c>
      <c r="B14" s="1" t="s">
        <v>1</v>
      </c>
      <c r="C14" s="3">
        <v>27</v>
      </c>
      <c r="D14" s="2">
        <v>41</v>
      </c>
      <c r="E14" s="2">
        <f>TabelaFrecheirinha[[#This Row],[Qtde]]*TabelaFrecheirinha[[#This Row],[Vl. Unitário]]</f>
        <v>1107</v>
      </c>
      <c r="F14" s="7" t="str">
        <f>VLOOKUP(TabelaFrecheirinha[[#This Row],[Código+Produto]],Base!A:C,3,0)</f>
        <v>contra file mp</v>
      </c>
      <c r="G14" s="8" t="str">
        <f>VLOOKUP(A14,Base!A:D,4,0)</f>
        <v>CARNES BOVINAS</v>
      </c>
      <c r="I14" s="9" t="s">
        <v>601</v>
      </c>
      <c r="J14" s="6" t="s">
        <v>711</v>
      </c>
      <c r="K14" s="6" t="s">
        <v>1</v>
      </c>
      <c r="L14" s="3">
        <v>370.55</v>
      </c>
      <c r="M14" s="5">
        <v>17</v>
      </c>
      <c r="N14" s="5">
        <v>6299.35</v>
      </c>
    </row>
    <row r="15" spans="1:16" x14ac:dyDescent="0.25">
      <c r="A15" s="1" t="s">
        <v>11</v>
      </c>
      <c r="B15" s="1" t="s">
        <v>1</v>
      </c>
      <c r="C15" s="3">
        <v>15.85</v>
      </c>
      <c r="D15" s="2">
        <v>41</v>
      </c>
      <c r="E15" s="2">
        <f>TabelaFrecheirinha[[#This Row],[Qtde]]*TabelaFrecheirinha[[#This Row],[Vl. Unitário]]</f>
        <v>649.85</v>
      </c>
      <c r="F15" s="7" t="str">
        <f>VLOOKUP(TabelaFrecheirinha[[#This Row],[Código+Produto]],Base!A:C,3,0)</f>
        <v>contra file mp</v>
      </c>
      <c r="G15" s="8" t="str">
        <f>VLOOKUP(A15,Base!A:D,4,0)</f>
        <v>CARNES BOVINAS</v>
      </c>
      <c r="I15" s="10" t="s">
        <v>601</v>
      </c>
      <c r="J15" s="6" t="s">
        <v>603</v>
      </c>
      <c r="K15" s="6" t="s">
        <v>1</v>
      </c>
      <c r="L15" s="3">
        <v>30.099999999999998</v>
      </c>
      <c r="M15" s="5">
        <v>33</v>
      </c>
      <c r="N15" s="5">
        <v>993.30000000000007</v>
      </c>
    </row>
    <row r="16" spans="1:16" x14ac:dyDescent="0.25">
      <c r="A16" s="1" t="s">
        <v>11</v>
      </c>
      <c r="B16" s="1" t="s">
        <v>1</v>
      </c>
      <c r="C16" s="3">
        <v>24</v>
      </c>
      <c r="D16" s="2">
        <v>41</v>
      </c>
      <c r="E16" s="2">
        <f>TabelaFrecheirinha[[#This Row],[Qtde]]*TabelaFrecheirinha[[#This Row],[Vl. Unitário]]</f>
        <v>984</v>
      </c>
      <c r="F16" s="7" t="str">
        <f>VLOOKUP(TabelaFrecheirinha[[#This Row],[Código+Produto]],Base!A:C,3,0)</f>
        <v>contra file mp</v>
      </c>
      <c r="G16" s="8" t="str">
        <f>VLOOKUP(A16,Base!A:D,4,0)</f>
        <v>CARNES BOVINAS</v>
      </c>
      <c r="I16" s="9"/>
      <c r="J16" s="10"/>
      <c r="K16" s="10"/>
      <c r="L16" s="3"/>
      <c r="M16" s="5"/>
      <c r="N16" s="5"/>
    </row>
    <row r="17" spans="1:14" x14ac:dyDescent="0.25">
      <c r="A17" s="1" t="s">
        <v>11</v>
      </c>
      <c r="B17" s="1" t="s">
        <v>1</v>
      </c>
      <c r="C17" s="3">
        <v>50.5</v>
      </c>
      <c r="D17" s="2">
        <v>41</v>
      </c>
      <c r="E17" s="2">
        <f>TabelaFrecheirinha[[#This Row],[Qtde]]*TabelaFrecheirinha[[#This Row],[Vl. Unitário]]</f>
        <v>2070.5</v>
      </c>
      <c r="F17" s="40" t="str">
        <f>VLOOKUP(TabelaFrecheirinha[[#This Row],[Código+Produto]],Base!A:C,3,0)</f>
        <v>contra file mp</v>
      </c>
      <c r="G17" s="8" t="str">
        <f>VLOOKUP(A17,Base!A:D,4,0)</f>
        <v>CARNES BOVINAS</v>
      </c>
      <c r="I17" s="9" t="s">
        <v>631</v>
      </c>
      <c r="J17" s="6" t="s">
        <v>632</v>
      </c>
      <c r="K17" s="6" t="s">
        <v>1</v>
      </c>
      <c r="L17" s="3">
        <v>269.60000000000002</v>
      </c>
      <c r="M17" s="5">
        <v>16.5701</v>
      </c>
      <c r="N17" s="5">
        <v>4467.298960000001</v>
      </c>
    </row>
    <row r="18" spans="1:14" x14ac:dyDescent="0.25">
      <c r="A18" s="1" t="s">
        <v>11</v>
      </c>
      <c r="B18" s="1" t="s">
        <v>1</v>
      </c>
      <c r="C18" s="3">
        <v>24</v>
      </c>
      <c r="D18" s="2">
        <v>39.89</v>
      </c>
      <c r="E18" s="2">
        <f>TabelaFrecheirinha[[#This Row],[Qtde]]*TabelaFrecheirinha[[#This Row],[Vl. Unitário]]</f>
        <v>957.36</v>
      </c>
      <c r="F18" s="40" t="str">
        <f>VLOOKUP(TabelaFrecheirinha[[#This Row],[Código+Produto]],Base!A:C,3,0)</f>
        <v>contra file mp</v>
      </c>
      <c r="G18" s="8" t="str">
        <f>VLOOKUP(A18,Base!A:D,4,0)</f>
        <v>CARNES BOVINAS</v>
      </c>
      <c r="I18" s="10" t="s">
        <v>631</v>
      </c>
      <c r="J18" s="6" t="s">
        <v>634</v>
      </c>
      <c r="K18" s="6" t="s">
        <v>1</v>
      </c>
      <c r="L18" s="3">
        <v>33.549999999999997</v>
      </c>
      <c r="M18" s="5">
        <v>19.510000000000002</v>
      </c>
      <c r="N18" s="5">
        <v>654.56050000000005</v>
      </c>
    </row>
    <row r="19" spans="1:14" x14ac:dyDescent="0.25">
      <c r="A19" s="1" t="s">
        <v>11</v>
      </c>
      <c r="B19" s="1" t="s">
        <v>1</v>
      </c>
      <c r="C19" s="3">
        <v>26.3</v>
      </c>
      <c r="D19" s="2">
        <v>39.89</v>
      </c>
      <c r="E19" s="2">
        <f>TabelaFrecheirinha[[#This Row],[Qtde]]*TabelaFrecheirinha[[#This Row],[Vl. Unitário]]</f>
        <v>1049.107</v>
      </c>
      <c r="F19" s="40" t="str">
        <f>VLOOKUP(TabelaFrecheirinha[[#This Row],[Código+Produto]],Base!A:C,3,0)</f>
        <v>contra file mp</v>
      </c>
      <c r="G19" s="8" t="str">
        <f>VLOOKUP(A19,Base!A:D,4,0)</f>
        <v>CARNES BOVINAS</v>
      </c>
      <c r="I19" s="10" t="s">
        <v>631</v>
      </c>
      <c r="J19" s="6" t="s">
        <v>630</v>
      </c>
      <c r="K19" s="6" t="s">
        <v>1</v>
      </c>
      <c r="L19" s="3">
        <v>22.4</v>
      </c>
      <c r="M19" s="5">
        <v>23.671399999999998</v>
      </c>
      <c r="N19" s="5">
        <v>531.07136000000003</v>
      </c>
    </row>
    <row r="20" spans="1:14" x14ac:dyDescent="0.25">
      <c r="A20" s="1" t="s">
        <v>1226</v>
      </c>
      <c r="B20" s="1" t="s">
        <v>1</v>
      </c>
      <c r="C20" s="3">
        <v>5</v>
      </c>
      <c r="D20" s="2">
        <v>26.4999</v>
      </c>
      <c r="E20" s="2">
        <f>TabelaFrecheirinha[[#This Row],[Qtde]]*TabelaFrecheirinha[[#This Row],[Vl. Unitário]]</f>
        <v>132.49950000000001</v>
      </c>
      <c r="F20" s="7" t="str">
        <f>VLOOKUP(TabelaFrecheirinha[[#This Row],[Código+Produto]],Base!A:C,3,0)</f>
        <v>cordao do file mignon mp</v>
      </c>
      <c r="G20" s="8" t="str">
        <f>VLOOKUP(A20,Base!A:D,4,0)</f>
        <v>CARNES BOVINAS</v>
      </c>
      <c r="I20" s="9"/>
      <c r="J20" s="10"/>
      <c r="K20" s="10"/>
      <c r="L20" s="3"/>
      <c r="M20" s="5"/>
      <c r="N20" s="5"/>
    </row>
    <row r="21" spans="1:14" x14ac:dyDescent="0.25">
      <c r="A21" s="1" t="s">
        <v>12</v>
      </c>
      <c r="B21" s="1" t="s">
        <v>1</v>
      </c>
      <c r="C21" s="3">
        <v>3.25</v>
      </c>
      <c r="D21" s="2">
        <v>65</v>
      </c>
      <c r="E21" s="2">
        <f>TabelaFrecheirinha[[#This Row],[Qtde]]*TabelaFrecheirinha[[#This Row],[Vl. Unitário]]</f>
        <v>211.25</v>
      </c>
      <c r="F21" s="7" t="str">
        <f>VLOOKUP(TabelaFrecheirinha[[#This Row],[Código+Produto]],Base!A:C,3,0)</f>
        <v>file mignon mp</v>
      </c>
      <c r="G21" s="8" t="str">
        <f>VLOOKUP(A21,Base!A:D,4,0)</f>
        <v>CARNES BOVINAS</v>
      </c>
      <c r="I21" s="9" t="s">
        <v>569</v>
      </c>
      <c r="J21" s="6" t="s">
        <v>570</v>
      </c>
      <c r="K21" s="6" t="s">
        <v>1</v>
      </c>
      <c r="L21" s="3">
        <v>210</v>
      </c>
      <c r="M21" s="5">
        <v>17.126999999999995</v>
      </c>
      <c r="N21" s="5">
        <v>3618.2699999999991</v>
      </c>
    </row>
    <row r="22" spans="1:14" x14ac:dyDescent="0.25">
      <c r="A22" s="1" t="s">
        <v>12</v>
      </c>
      <c r="B22" s="1" t="s">
        <v>1</v>
      </c>
      <c r="C22" s="3">
        <v>5.35</v>
      </c>
      <c r="D22" s="2">
        <v>65</v>
      </c>
      <c r="E22" s="2">
        <f>TabelaFrecheirinha[[#This Row],[Qtde]]*TabelaFrecheirinha[[#This Row],[Vl. Unitário]]</f>
        <v>347.75</v>
      </c>
      <c r="F22" s="7" t="str">
        <f>VLOOKUP(TabelaFrecheirinha[[#This Row],[Código+Produto]],Base!A:C,3,0)</f>
        <v>file mignon mp</v>
      </c>
      <c r="G22" s="8" t="str">
        <f>VLOOKUP(A22,Base!A:D,4,0)</f>
        <v>CARNES BOVINAS</v>
      </c>
      <c r="I22" s="10" t="s">
        <v>569</v>
      </c>
      <c r="J22" s="6" t="s">
        <v>571</v>
      </c>
      <c r="K22" s="6" t="s">
        <v>1</v>
      </c>
      <c r="L22" s="3">
        <v>76.5</v>
      </c>
      <c r="M22" s="5">
        <v>9.9707999999999988</v>
      </c>
      <c r="N22" s="5">
        <v>762.76620000000003</v>
      </c>
    </row>
    <row r="23" spans="1:14" x14ac:dyDescent="0.25">
      <c r="A23" s="1" t="s">
        <v>12</v>
      </c>
      <c r="B23" s="1" t="s">
        <v>1</v>
      </c>
      <c r="C23" s="3">
        <v>4</v>
      </c>
      <c r="D23" s="2">
        <v>65</v>
      </c>
      <c r="E23" s="2">
        <f>TabelaFrecheirinha[[#This Row],[Qtde]]*TabelaFrecheirinha[[#This Row],[Vl. Unitário]]</f>
        <v>260</v>
      </c>
      <c r="F23" s="7" t="str">
        <f>VLOOKUP(TabelaFrecheirinha[[#This Row],[Código+Produto]],Base!A:C,3,0)</f>
        <v>file mignon mp</v>
      </c>
      <c r="G23" s="8" t="str">
        <f>VLOOKUP(A23,Base!A:D,4,0)</f>
        <v>CARNES BOVINAS</v>
      </c>
      <c r="I23" s="10" t="s">
        <v>569</v>
      </c>
      <c r="J23" s="6" t="s">
        <v>568</v>
      </c>
      <c r="K23" s="6" t="s">
        <v>1</v>
      </c>
      <c r="L23" s="3">
        <v>22.55</v>
      </c>
      <c r="M23" s="5">
        <v>8.9932333333333343</v>
      </c>
      <c r="N23" s="5">
        <v>203.96964999999997</v>
      </c>
    </row>
    <row r="24" spans="1:14" x14ac:dyDescent="0.25">
      <c r="A24" s="1" t="s">
        <v>12</v>
      </c>
      <c r="B24" s="1" t="s">
        <v>1</v>
      </c>
      <c r="C24" s="3">
        <v>1.25</v>
      </c>
      <c r="D24" s="2">
        <v>64.990200000000002</v>
      </c>
      <c r="E24" s="2">
        <f>TabelaFrecheirinha[[#This Row],[Qtde]]*TabelaFrecheirinha[[#This Row],[Vl. Unitário]]</f>
        <v>81.237750000000005</v>
      </c>
      <c r="F24" s="7" t="str">
        <f>VLOOKUP(TabelaFrecheirinha[[#This Row],[Código+Produto]],Base!A:C,3,0)</f>
        <v>file mignon mp</v>
      </c>
      <c r="G24" s="8" t="str">
        <f>VLOOKUP(A24,Base!A:D,4,0)</f>
        <v>CARNES BOVINAS</v>
      </c>
      <c r="I24" s="9"/>
      <c r="J24" s="10"/>
      <c r="K24" s="10"/>
      <c r="L24" s="3"/>
      <c r="M24" s="5"/>
      <c r="N24" s="5"/>
    </row>
    <row r="25" spans="1:14" x14ac:dyDescent="0.25">
      <c r="A25" s="1" t="s">
        <v>12</v>
      </c>
      <c r="B25" s="1" t="s">
        <v>1</v>
      </c>
      <c r="C25" s="3">
        <v>4.95</v>
      </c>
      <c r="D25" s="2">
        <v>64.990200000000002</v>
      </c>
      <c r="E25" s="2">
        <f>TabelaFrecheirinha[[#This Row],[Qtde]]*TabelaFrecheirinha[[#This Row],[Vl. Unitário]]</f>
        <v>321.70149000000004</v>
      </c>
      <c r="F25" s="7" t="str">
        <f>VLOOKUP(TabelaFrecheirinha[[#This Row],[Código+Produto]],Base!A:C,3,0)</f>
        <v>file mignon mp</v>
      </c>
      <c r="G25" s="8" t="str">
        <f>VLOOKUP(A25,Base!A:D,4,0)</f>
        <v>CARNES BOVINAS</v>
      </c>
      <c r="I25" s="6" t="s">
        <v>557</v>
      </c>
      <c r="J25" s="6" t="s">
        <v>556</v>
      </c>
      <c r="K25" s="6" t="s">
        <v>1</v>
      </c>
      <c r="L25" s="3">
        <v>304</v>
      </c>
      <c r="M25" s="5">
        <v>12.413684615384616</v>
      </c>
      <c r="N25" s="5">
        <v>3764.8152</v>
      </c>
    </row>
    <row r="26" spans="1:14" x14ac:dyDescent="0.25">
      <c r="A26" s="1" t="s">
        <v>12</v>
      </c>
      <c r="B26" s="1" t="s">
        <v>1</v>
      </c>
      <c r="C26" s="3">
        <v>3.85</v>
      </c>
      <c r="D26" s="2">
        <v>65</v>
      </c>
      <c r="E26" s="2">
        <f>TabelaFrecheirinha[[#This Row],[Qtde]]*TabelaFrecheirinha[[#This Row],[Vl. Unitário]]</f>
        <v>250.25</v>
      </c>
      <c r="F26" s="7" t="str">
        <f>VLOOKUP(TabelaFrecheirinha[[#This Row],[Código+Produto]],Base!A:C,3,0)</f>
        <v>file mignon mp</v>
      </c>
      <c r="G26" s="8" t="str">
        <f>VLOOKUP(A26,Base!A:D,4,0)</f>
        <v>CARNES BOVINAS</v>
      </c>
      <c r="I26" s="9"/>
      <c r="J26" s="10"/>
      <c r="K26" s="10"/>
      <c r="L26" s="3"/>
      <c r="M26" s="5"/>
      <c r="N26" s="5"/>
    </row>
    <row r="27" spans="1:14" x14ac:dyDescent="0.25">
      <c r="A27" s="1" t="s">
        <v>12</v>
      </c>
      <c r="B27" s="1" t="s">
        <v>1</v>
      </c>
      <c r="C27" s="3">
        <v>1.6</v>
      </c>
      <c r="D27" s="2">
        <v>65</v>
      </c>
      <c r="E27" s="2">
        <f>TabelaFrecheirinha[[#This Row],[Qtde]]*TabelaFrecheirinha[[#This Row],[Vl. Unitário]]</f>
        <v>104</v>
      </c>
      <c r="F27" s="40" t="str">
        <f>VLOOKUP(TabelaFrecheirinha[[#This Row],[Código+Produto]],Base!A:C,3,0)</f>
        <v>file mignon mp</v>
      </c>
      <c r="G27" s="8" t="str">
        <f>VLOOKUP(A27,Base!A:D,4,0)</f>
        <v>CARNES BOVINAS</v>
      </c>
      <c r="I27" s="9" t="s">
        <v>593</v>
      </c>
      <c r="J27" s="6" t="s">
        <v>592</v>
      </c>
      <c r="K27" s="6" t="s">
        <v>6</v>
      </c>
      <c r="L27" s="3">
        <v>325</v>
      </c>
      <c r="M27" s="5">
        <v>3.5</v>
      </c>
      <c r="N27" s="5">
        <v>1137.5</v>
      </c>
    </row>
    <row r="28" spans="1:14" x14ac:dyDescent="0.25">
      <c r="A28" s="1" t="s">
        <v>12</v>
      </c>
      <c r="B28" s="1" t="s">
        <v>1</v>
      </c>
      <c r="C28" s="3">
        <v>3.7</v>
      </c>
      <c r="D28" s="2">
        <v>65</v>
      </c>
      <c r="E28" s="2">
        <f>TabelaFrecheirinha[[#This Row],[Qtde]]*TabelaFrecheirinha[[#This Row],[Vl. Unitário]]</f>
        <v>240.5</v>
      </c>
      <c r="F28" s="40" t="str">
        <f>VLOOKUP(TabelaFrecheirinha[[#This Row],[Código+Produto]],Base!A:C,3,0)</f>
        <v>file mignon mp</v>
      </c>
      <c r="G28" s="8" t="str">
        <f>VLOOKUP(A28,Base!A:D,4,0)</f>
        <v>CARNES BOVINAS</v>
      </c>
      <c r="I28" s="10" t="s">
        <v>593</v>
      </c>
      <c r="J28" s="6" t="s">
        <v>597</v>
      </c>
      <c r="K28" s="6" t="s">
        <v>1</v>
      </c>
      <c r="L28" s="3">
        <v>32.099999999999994</v>
      </c>
      <c r="M28" s="5">
        <v>31.245050000000006</v>
      </c>
      <c r="N28" s="5">
        <v>1003.3740250000001</v>
      </c>
    </row>
    <row r="29" spans="1:14" x14ac:dyDescent="0.25">
      <c r="A29" s="1" t="s">
        <v>1193</v>
      </c>
      <c r="B29" s="1" t="s">
        <v>1</v>
      </c>
      <c r="C29" s="3">
        <v>4.9000000000000004</v>
      </c>
      <c r="D29" s="2">
        <v>92.197999999999993</v>
      </c>
      <c r="E29" s="2">
        <f>TabelaFrecheirinha[[#This Row],[Qtde]]*TabelaFrecheirinha[[#This Row],[Vl. Unitário]]</f>
        <v>451.77019999999999</v>
      </c>
      <c r="F29" s="7" t="str">
        <f>VLOOKUP(TabelaFrecheirinha[[#This Row],[Código+Produto]],Base!A:C,3,0)</f>
        <v>picanha importada mp</v>
      </c>
      <c r="G29" s="8" t="str">
        <f>VLOOKUP(A29,Base!A:D,4,0)</f>
        <v>CARNES BOVINAS</v>
      </c>
      <c r="I29" s="10" t="s">
        <v>593</v>
      </c>
      <c r="J29" s="6" t="s">
        <v>596</v>
      </c>
      <c r="K29" s="6" t="s">
        <v>1</v>
      </c>
      <c r="L29" s="3">
        <v>38.000000000000007</v>
      </c>
      <c r="M29" s="5">
        <v>22.236654545454545</v>
      </c>
      <c r="N29" s="5">
        <v>839.95174999999995</v>
      </c>
    </row>
    <row r="30" spans="1:14" x14ac:dyDescent="0.25">
      <c r="A30" s="1" t="s">
        <v>1193</v>
      </c>
      <c r="B30" s="1" t="s">
        <v>1</v>
      </c>
      <c r="C30" s="3">
        <v>6.95</v>
      </c>
      <c r="D30" s="2">
        <v>92.170400000000001</v>
      </c>
      <c r="E30" s="2">
        <f>TabelaFrecheirinha[[#This Row],[Qtde]]*TabelaFrecheirinha[[#This Row],[Vl. Unitário]]</f>
        <v>640.58428000000004</v>
      </c>
      <c r="F30" s="7" t="str">
        <f>VLOOKUP(TabelaFrecheirinha[[#This Row],[Código+Produto]],Base!A:C,3,0)</f>
        <v>picanha importada mp</v>
      </c>
      <c r="G30" s="8" t="str">
        <f>VLOOKUP(A30,Base!A:D,4,0)</f>
        <v>CARNES BOVINAS</v>
      </c>
      <c r="I30" s="10" t="s">
        <v>593</v>
      </c>
      <c r="J30" s="6" t="s">
        <v>595</v>
      </c>
      <c r="K30" s="6" t="s">
        <v>1</v>
      </c>
      <c r="L30" s="3">
        <v>29</v>
      </c>
      <c r="M30" s="5">
        <v>8.35</v>
      </c>
      <c r="N30" s="5">
        <v>241.89</v>
      </c>
    </row>
    <row r="31" spans="1:14" x14ac:dyDescent="0.25">
      <c r="A31" s="1" t="s">
        <v>1193</v>
      </c>
      <c r="B31" s="1" t="s">
        <v>1</v>
      </c>
      <c r="C31" s="3">
        <v>7</v>
      </c>
      <c r="D31" s="2">
        <v>92.168000000000006</v>
      </c>
      <c r="E31" s="2">
        <f>TabelaFrecheirinha[[#This Row],[Qtde]]*TabelaFrecheirinha[[#This Row],[Vl. Unitário]]</f>
        <v>645.17600000000004</v>
      </c>
      <c r="F31" s="7" t="str">
        <f>VLOOKUP(TabelaFrecheirinha[[#This Row],[Código+Produto]],Base!A:C,3,0)</f>
        <v>picanha importada mp</v>
      </c>
      <c r="G31" s="8" t="str">
        <f>VLOOKUP(A31,Base!A:D,4,0)</f>
        <v>CARNES BOVINAS</v>
      </c>
      <c r="I31" s="9"/>
      <c r="J31" s="10"/>
      <c r="K31" s="10"/>
      <c r="L31" s="3"/>
      <c r="M31" s="5"/>
      <c r="N31" s="5"/>
    </row>
    <row r="32" spans="1:14" x14ac:dyDescent="0.25">
      <c r="A32" s="1" t="s">
        <v>1193</v>
      </c>
      <c r="B32" s="1" t="s">
        <v>1</v>
      </c>
      <c r="C32" s="3">
        <v>3.7</v>
      </c>
      <c r="D32" s="2">
        <v>92.168000000000006</v>
      </c>
      <c r="E32" s="2">
        <f>TabelaFrecheirinha[[#This Row],[Qtde]]*TabelaFrecheirinha[[#This Row],[Vl. Unitário]]</f>
        <v>341.02160000000003</v>
      </c>
      <c r="F32" s="7" t="str">
        <f>VLOOKUP(TabelaFrecheirinha[[#This Row],[Código+Produto]],Base!A:C,3,0)</f>
        <v>picanha importada mp</v>
      </c>
      <c r="G32" s="8" t="str">
        <f>VLOOKUP(A32,Base!A:D,4,0)</f>
        <v>CARNES BOVINAS</v>
      </c>
      <c r="I32" s="9" t="s">
        <v>575</v>
      </c>
      <c r="J32" s="6" t="s">
        <v>579</v>
      </c>
      <c r="K32" s="6" t="s">
        <v>1</v>
      </c>
      <c r="L32" s="3">
        <v>191.95</v>
      </c>
      <c r="M32" s="5">
        <v>7</v>
      </c>
      <c r="N32" s="5">
        <v>1343.65</v>
      </c>
    </row>
    <row r="33" spans="1:14" x14ac:dyDescent="0.25">
      <c r="A33" s="1" t="s">
        <v>1193</v>
      </c>
      <c r="B33" s="1" t="s">
        <v>1</v>
      </c>
      <c r="C33" s="3">
        <v>7</v>
      </c>
      <c r="D33" s="2">
        <v>92.168000000000006</v>
      </c>
      <c r="E33" s="2">
        <f>TabelaFrecheirinha[[#This Row],[Qtde]]*TabelaFrecheirinha[[#This Row],[Vl. Unitário]]</f>
        <v>645.17600000000004</v>
      </c>
      <c r="F33" s="7" t="str">
        <f>VLOOKUP(TabelaFrecheirinha[[#This Row],[Código+Produto]],Base!A:C,3,0)</f>
        <v>picanha importada mp</v>
      </c>
      <c r="G33" s="8" t="str">
        <f>VLOOKUP(A33,Base!A:D,4,0)</f>
        <v>CARNES BOVINAS</v>
      </c>
      <c r="I33" s="10" t="s">
        <v>575</v>
      </c>
      <c r="J33" s="6" t="s">
        <v>580</v>
      </c>
      <c r="K33" s="6" t="s">
        <v>1</v>
      </c>
      <c r="L33" s="3">
        <v>173</v>
      </c>
      <c r="M33" s="5">
        <v>2.1053000000000002</v>
      </c>
      <c r="N33" s="5">
        <v>364.21690000000001</v>
      </c>
    </row>
    <row r="34" spans="1:14" x14ac:dyDescent="0.25">
      <c r="A34" s="1" t="s">
        <v>29</v>
      </c>
      <c r="B34" s="1" t="s">
        <v>1</v>
      </c>
      <c r="C34" s="3">
        <v>24</v>
      </c>
      <c r="D34" s="2">
        <v>12.9543</v>
      </c>
      <c r="E34" s="2">
        <f>TabelaFrecheirinha[[#This Row],[Qtde]]*TabelaFrecheirinha[[#This Row],[Vl. Unitário]]</f>
        <v>310.90319999999997</v>
      </c>
      <c r="F34" s="7" t="str">
        <f>VLOOKUP(TabelaFrecheirinha[[#This Row],[Código+Produto]],Base!A:C,3,0)</f>
        <v>batata pre frita mp</v>
      </c>
      <c r="G34" s="8" t="str">
        <f>VLOOKUP(A34,Base!A:D,4,0)</f>
        <v>CONGELADOS</v>
      </c>
      <c r="I34" s="10" t="s">
        <v>575</v>
      </c>
      <c r="J34" s="6" t="s">
        <v>591</v>
      </c>
      <c r="K34" s="6" t="s">
        <v>1</v>
      </c>
      <c r="L34" s="3">
        <v>109.83</v>
      </c>
      <c r="M34" s="5">
        <v>2.8125</v>
      </c>
      <c r="N34" s="5">
        <v>321.57499999999999</v>
      </c>
    </row>
    <row r="35" spans="1:14" x14ac:dyDescent="0.25">
      <c r="A35" s="1" t="s">
        <v>29</v>
      </c>
      <c r="B35" s="1" t="s">
        <v>1</v>
      </c>
      <c r="C35" s="3">
        <v>24</v>
      </c>
      <c r="D35" s="2">
        <v>12.9543</v>
      </c>
      <c r="E35" s="2">
        <f>TabelaFrecheirinha[[#This Row],[Qtde]]*TabelaFrecheirinha[[#This Row],[Vl. Unitário]]</f>
        <v>310.90319999999997</v>
      </c>
      <c r="F35" s="7" t="str">
        <f>VLOOKUP(TabelaFrecheirinha[[#This Row],[Código+Produto]],Base!A:C,3,0)</f>
        <v>batata pre frita mp</v>
      </c>
      <c r="G35" s="8" t="str">
        <f>VLOOKUP(A35,Base!A:D,4,0)</f>
        <v>CONGELADOS</v>
      </c>
      <c r="I35" s="10" t="s">
        <v>575</v>
      </c>
      <c r="J35" s="6" t="s">
        <v>588</v>
      </c>
      <c r="K35" s="6" t="s">
        <v>1</v>
      </c>
      <c r="L35" s="3">
        <v>116</v>
      </c>
      <c r="M35" s="5">
        <v>2.7082999999999999</v>
      </c>
      <c r="N35" s="5">
        <v>314.16279999999995</v>
      </c>
    </row>
    <row r="36" spans="1:14" x14ac:dyDescent="0.25">
      <c r="A36" s="1" t="s">
        <v>29</v>
      </c>
      <c r="B36" s="1" t="s">
        <v>1</v>
      </c>
      <c r="C36" s="3">
        <v>12</v>
      </c>
      <c r="D36" s="2">
        <v>12.9543</v>
      </c>
      <c r="E36" s="2">
        <f>TabelaFrecheirinha[[#This Row],[Qtde]]*TabelaFrecheirinha[[#This Row],[Vl. Unitário]]</f>
        <v>155.45159999999998</v>
      </c>
      <c r="F36" s="7" t="str">
        <f>VLOOKUP(TabelaFrecheirinha[[#This Row],[Código+Produto]],Base!A:C,3,0)</f>
        <v>batata pre frita mp</v>
      </c>
      <c r="G36" s="8" t="str">
        <f>VLOOKUP(A36,Base!A:D,4,0)</f>
        <v>CONGELADOS</v>
      </c>
      <c r="I36" s="10" t="s">
        <v>575</v>
      </c>
      <c r="J36" s="6" t="s">
        <v>590</v>
      </c>
      <c r="K36" s="6" t="s">
        <v>1</v>
      </c>
      <c r="L36" s="3">
        <v>99.55</v>
      </c>
      <c r="M36" s="5">
        <v>1.7</v>
      </c>
      <c r="N36" s="5">
        <v>169.23500000000001</v>
      </c>
    </row>
    <row r="37" spans="1:14" x14ac:dyDescent="0.25">
      <c r="A37" s="1" t="s">
        <v>29</v>
      </c>
      <c r="B37" s="1" t="s">
        <v>1</v>
      </c>
      <c r="C37" s="3">
        <v>48</v>
      </c>
      <c r="D37" s="2">
        <v>12.953900000000001</v>
      </c>
      <c r="E37" s="2">
        <f>TabelaFrecheirinha[[#This Row],[Qtde]]*TabelaFrecheirinha[[#This Row],[Vl. Unitário]]</f>
        <v>621.78719999999998</v>
      </c>
      <c r="F37" s="7" t="str">
        <f>VLOOKUP(TabelaFrecheirinha[[#This Row],[Código+Produto]],Base!A:C,3,0)</f>
        <v>batata pre frita mp</v>
      </c>
      <c r="G37" s="8" t="str">
        <f>VLOOKUP(A37,Base!A:D,4,0)</f>
        <v>CONGELADOS</v>
      </c>
      <c r="I37" s="10" t="s">
        <v>575</v>
      </c>
      <c r="J37" s="6" t="s">
        <v>581</v>
      </c>
      <c r="K37" s="6" t="s">
        <v>1</v>
      </c>
      <c r="L37" s="3">
        <v>35.450000000000003</v>
      </c>
      <c r="M37" s="5">
        <v>4</v>
      </c>
      <c r="N37" s="5">
        <v>141.80000000000001</v>
      </c>
    </row>
    <row r="38" spans="1:14" x14ac:dyDescent="0.25">
      <c r="A38" s="1" t="s">
        <v>29</v>
      </c>
      <c r="B38" s="1" t="s">
        <v>1</v>
      </c>
      <c r="C38" s="3">
        <v>24</v>
      </c>
      <c r="D38" s="2">
        <v>12.953900000000001</v>
      </c>
      <c r="E38" s="2">
        <f>TabelaFrecheirinha[[#This Row],[Qtde]]*TabelaFrecheirinha[[#This Row],[Vl. Unitário]]</f>
        <v>310.89359999999999</v>
      </c>
      <c r="F38" s="7" t="str">
        <f>VLOOKUP(TabelaFrecheirinha[[#This Row],[Código+Produto]],Base!A:C,3,0)</f>
        <v>batata pre frita mp</v>
      </c>
      <c r="G38" s="8" t="str">
        <f>VLOOKUP(A38,Base!A:D,4,0)</f>
        <v>CONGELADOS</v>
      </c>
      <c r="I38" s="10" t="s">
        <v>575</v>
      </c>
      <c r="J38" s="6" t="s">
        <v>584</v>
      </c>
      <c r="K38" s="6" t="s">
        <v>14</v>
      </c>
      <c r="L38" s="3">
        <v>24</v>
      </c>
      <c r="M38" s="5">
        <v>3.6111</v>
      </c>
      <c r="N38" s="5">
        <v>86.666399999999996</v>
      </c>
    </row>
    <row r="39" spans="1:14" x14ac:dyDescent="0.25">
      <c r="A39" s="1" t="s">
        <v>29</v>
      </c>
      <c r="B39" s="1" t="s">
        <v>1</v>
      </c>
      <c r="C39" s="3">
        <v>24</v>
      </c>
      <c r="D39" s="2">
        <v>12.953900000000001</v>
      </c>
      <c r="E39" s="2">
        <f>TabelaFrecheirinha[[#This Row],[Qtde]]*TabelaFrecheirinha[[#This Row],[Vl. Unitário]]</f>
        <v>310.89359999999999</v>
      </c>
      <c r="F39" s="7" t="str">
        <f>VLOOKUP(TabelaFrecheirinha[[#This Row],[Código+Produto]],Base!A:C,3,0)</f>
        <v>batata pre frita mp</v>
      </c>
      <c r="G39" s="8" t="str">
        <f>VLOOKUP(A39,Base!A:D,4,0)</f>
        <v>CONGELADOS</v>
      </c>
      <c r="I39" s="10" t="s">
        <v>575</v>
      </c>
      <c r="J39" s="6" t="s">
        <v>578</v>
      </c>
      <c r="K39" s="6" t="s">
        <v>1</v>
      </c>
      <c r="L39" s="3">
        <v>27.05</v>
      </c>
      <c r="M39" s="5">
        <v>2.5</v>
      </c>
      <c r="N39" s="5">
        <v>67.625</v>
      </c>
    </row>
    <row r="40" spans="1:14" x14ac:dyDescent="0.25">
      <c r="A40" s="1" t="s">
        <v>29</v>
      </c>
      <c r="B40" s="1" t="s">
        <v>1</v>
      </c>
      <c r="C40" s="3">
        <v>24</v>
      </c>
      <c r="D40" s="2">
        <v>12.953900000000001</v>
      </c>
      <c r="E40" s="2">
        <f>TabelaFrecheirinha[[#This Row],[Qtde]]*TabelaFrecheirinha[[#This Row],[Vl. Unitário]]</f>
        <v>310.89359999999999</v>
      </c>
      <c r="F40" s="7" t="str">
        <f>VLOOKUP(TabelaFrecheirinha[[#This Row],[Código+Produto]],Base!A:C,3,0)</f>
        <v>batata pre frita mp</v>
      </c>
      <c r="G40" s="8" t="str">
        <f>VLOOKUP(A40,Base!A:D,4,0)</f>
        <v>CONGELADOS</v>
      </c>
      <c r="I40" s="10" t="s">
        <v>575</v>
      </c>
      <c r="J40" s="6" t="s">
        <v>587</v>
      </c>
      <c r="K40" s="6" t="s">
        <v>1</v>
      </c>
      <c r="L40" s="3">
        <v>7.25</v>
      </c>
      <c r="M40" s="5">
        <v>8</v>
      </c>
      <c r="N40" s="5">
        <v>58</v>
      </c>
    </row>
    <row r="41" spans="1:14" x14ac:dyDescent="0.25">
      <c r="A41" s="1" t="s">
        <v>29</v>
      </c>
      <c r="B41" s="1" t="s">
        <v>1</v>
      </c>
      <c r="C41" s="3">
        <v>12</v>
      </c>
      <c r="D41" s="2">
        <v>12.953900000000001</v>
      </c>
      <c r="E41" s="2">
        <f>TabelaFrecheirinha[[#This Row],[Qtde]]*TabelaFrecheirinha[[#This Row],[Vl. Unitário]]</f>
        <v>155.4468</v>
      </c>
      <c r="F41" s="7" t="str">
        <f>VLOOKUP(TabelaFrecheirinha[[#This Row],[Código+Produto]],Base!A:C,3,0)</f>
        <v>batata pre frita mp</v>
      </c>
      <c r="G41" s="8" t="str">
        <f>VLOOKUP(A41,Base!A:D,4,0)</f>
        <v>CONGELADOS</v>
      </c>
      <c r="I41" s="10" t="s">
        <v>575</v>
      </c>
      <c r="J41" s="6" t="s">
        <v>583</v>
      </c>
      <c r="K41" s="6" t="s">
        <v>1</v>
      </c>
      <c r="L41" s="3">
        <v>1.5</v>
      </c>
      <c r="M41" s="5">
        <v>35</v>
      </c>
      <c r="N41" s="5">
        <v>52.5</v>
      </c>
    </row>
    <row r="42" spans="1:14" x14ac:dyDescent="0.25">
      <c r="A42" s="1" t="s">
        <v>29</v>
      </c>
      <c r="B42" s="1" t="s">
        <v>1</v>
      </c>
      <c r="C42" s="3">
        <v>24</v>
      </c>
      <c r="D42" s="2">
        <v>10.596500000000001</v>
      </c>
      <c r="E42" s="2">
        <f>TabelaFrecheirinha[[#This Row],[Qtde]]*TabelaFrecheirinha[[#This Row],[Vl. Unitário]]</f>
        <v>254.31600000000003</v>
      </c>
      <c r="F42" s="7" t="str">
        <f>VLOOKUP(TabelaFrecheirinha[[#This Row],[Código+Produto]],Base!A:C,3,0)</f>
        <v>batata pre frita mp</v>
      </c>
      <c r="G42" s="8" t="str">
        <f>VLOOKUP(A42,Base!A:D,4,0)</f>
        <v>CONGELADOS</v>
      </c>
      <c r="I42" s="10" t="s">
        <v>575</v>
      </c>
      <c r="J42" s="6" t="s">
        <v>589</v>
      </c>
      <c r="K42" s="6" t="s">
        <v>1</v>
      </c>
      <c r="L42" s="3">
        <v>7.27</v>
      </c>
      <c r="M42" s="5">
        <v>6.2868000000000004</v>
      </c>
      <c r="N42" s="5">
        <v>45.705036000000007</v>
      </c>
    </row>
    <row r="43" spans="1:14" x14ac:dyDescent="0.25">
      <c r="A43" s="1" t="s">
        <v>29</v>
      </c>
      <c r="B43" s="1" t="s">
        <v>1</v>
      </c>
      <c r="C43" s="3">
        <v>24</v>
      </c>
      <c r="D43" s="2">
        <v>10.596500000000001</v>
      </c>
      <c r="E43" s="2">
        <f>TabelaFrecheirinha[[#This Row],[Qtde]]*TabelaFrecheirinha[[#This Row],[Vl. Unitário]]</f>
        <v>254.31600000000003</v>
      </c>
      <c r="F43" s="7" t="str">
        <f>VLOOKUP(TabelaFrecheirinha[[#This Row],[Código+Produto]],Base!A:C,3,0)</f>
        <v>batata pre frita mp</v>
      </c>
      <c r="G43" s="8" t="str">
        <f>VLOOKUP(A43,Base!A:D,4,0)</f>
        <v>CONGELADOS</v>
      </c>
      <c r="I43" s="10" t="s">
        <v>575</v>
      </c>
      <c r="J43" s="6" t="s">
        <v>585</v>
      </c>
      <c r="K43" s="6" t="s">
        <v>1</v>
      </c>
      <c r="L43" s="3">
        <v>5.4</v>
      </c>
      <c r="M43" s="5">
        <v>4.8</v>
      </c>
      <c r="N43" s="5">
        <v>25.92</v>
      </c>
    </row>
    <row r="44" spans="1:14" x14ac:dyDescent="0.25">
      <c r="A44" s="1" t="s">
        <v>29</v>
      </c>
      <c r="B44" s="1" t="s">
        <v>1</v>
      </c>
      <c r="C44" s="3">
        <v>12</v>
      </c>
      <c r="D44" s="2">
        <v>12.953900000000001</v>
      </c>
      <c r="E44" s="2">
        <f>TabelaFrecheirinha[[#This Row],[Qtde]]*TabelaFrecheirinha[[#This Row],[Vl. Unitário]]</f>
        <v>155.4468</v>
      </c>
      <c r="F44" s="7" t="str">
        <f>VLOOKUP(TabelaFrecheirinha[[#This Row],[Código+Produto]],Base!A:C,3,0)</f>
        <v>batata pre frita mp</v>
      </c>
      <c r="G44" s="8" t="str">
        <f>VLOOKUP(A44,Base!A:D,4,0)</f>
        <v>CONGELADOS</v>
      </c>
      <c r="I44" s="10" t="s">
        <v>575</v>
      </c>
      <c r="J44" s="6" t="s">
        <v>574</v>
      </c>
      <c r="K44" s="6" t="s">
        <v>1</v>
      </c>
      <c r="L44" s="3">
        <v>13.999999999999998</v>
      </c>
      <c r="M44" s="5">
        <v>1.5500000000000003</v>
      </c>
      <c r="N44" s="5">
        <v>21.700000000000003</v>
      </c>
    </row>
    <row r="45" spans="1:14" x14ac:dyDescent="0.25">
      <c r="A45" s="1" t="s">
        <v>29</v>
      </c>
      <c r="B45" s="1" t="s">
        <v>1</v>
      </c>
      <c r="C45" s="3">
        <v>28</v>
      </c>
      <c r="D45" s="2">
        <v>11.799300000000001</v>
      </c>
      <c r="E45" s="2">
        <f>TabelaFrecheirinha[[#This Row],[Qtde]]*TabelaFrecheirinha[[#This Row],[Vl. Unitário]]</f>
        <v>330.38040000000001</v>
      </c>
      <c r="F45" s="40" t="str">
        <f>VLOOKUP(TabelaFrecheirinha[[#This Row],[Código+Produto]],Base!A:C,3,0)</f>
        <v>batata pre frita mp</v>
      </c>
      <c r="G45" s="8" t="str">
        <f>VLOOKUP(A45,Base!A:D,4,0)</f>
        <v>CONGELADOS</v>
      </c>
      <c r="I45" s="10" t="s">
        <v>575</v>
      </c>
      <c r="J45" s="6" t="s">
        <v>586</v>
      </c>
      <c r="K45" s="6" t="s">
        <v>1</v>
      </c>
      <c r="L45" s="3">
        <v>11.55</v>
      </c>
      <c r="M45" s="5">
        <v>0.75</v>
      </c>
      <c r="N45" s="5">
        <v>8.6625000000000014</v>
      </c>
    </row>
    <row r="46" spans="1:14" x14ac:dyDescent="0.25">
      <c r="A46" s="1" t="s">
        <v>29</v>
      </c>
      <c r="B46" s="1" t="s">
        <v>1</v>
      </c>
      <c r="C46" s="3">
        <v>24</v>
      </c>
      <c r="D46" s="2">
        <v>11.799300000000001</v>
      </c>
      <c r="E46" s="2">
        <f>TabelaFrecheirinha[[#This Row],[Qtde]]*TabelaFrecheirinha[[#This Row],[Vl. Unitário]]</f>
        <v>283.1832</v>
      </c>
      <c r="F46" s="40" t="str">
        <f>VLOOKUP(TabelaFrecheirinha[[#This Row],[Código+Produto]],Base!A:C,3,0)</f>
        <v>batata pre frita mp</v>
      </c>
      <c r="G46" s="8" t="str">
        <f>VLOOKUP(A46,Base!A:D,4,0)</f>
        <v>CONGELADOS</v>
      </c>
      <c r="I46" s="9"/>
      <c r="J46" s="10"/>
      <c r="K46" s="10"/>
      <c r="L46" s="3"/>
      <c r="M46" s="5"/>
      <c r="N46" s="5"/>
    </row>
    <row r="47" spans="1:14" x14ac:dyDescent="0.25">
      <c r="A47" s="1" t="s">
        <v>0</v>
      </c>
      <c r="B47" s="1" t="s">
        <v>1</v>
      </c>
      <c r="C47" s="3">
        <v>5</v>
      </c>
      <c r="D47" s="2">
        <v>6.99</v>
      </c>
      <c r="E47" s="2">
        <f>TabelaFrecheirinha[[#This Row],[Qtde]]*TabelaFrecheirinha[[#This Row],[Vl. Unitário]]</f>
        <v>34.950000000000003</v>
      </c>
      <c r="F47" s="7" t="str">
        <f>VLOOKUP(TabelaFrecheirinha[[#This Row],[Código+Produto]],Base!A:C,3,0)</f>
        <v>lanche apresuntado mp</v>
      </c>
      <c r="G47" s="8" t="str">
        <f>VLOOKUP(A47,Base!A:D,4,0)</f>
        <v>EMBUTIDOS</v>
      </c>
      <c r="I47" s="9" t="s">
        <v>605</v>
      </c>
      <c r="J47" s="6" t="s">
        <v>622</v>
      </c>
      <c r="K47" s="6" t="s">
        <v>1</v>
      </c>
      <c r="L47" s="3">
        <v>136.4</v>
      </c>
      <c r="M47" s="5">
        <v>10.739066666666664</v>
      </c>
      <c r="N47" s="5">
        <v>1464.0675199999998</v>
      </c>
    </row>
    <row r="48" spans="1:14" x14ac:dyDescent="0.25">
      <c r="A48" s="1" t="s">
        <v>0</v>
      </c>
      <c r="B48" s="1" t="s">
        <v>1</v>
      </c>
      <c r="C48" s="3">
        <v>5.05</v>
      </c>
      <c r="D48" s="2">
        <v>6.99</v>
      </c>
      <c r="E48" s="2">
        <f>TabelaFrecheirinha[[#This Row],[Qtde]]*TabelaFrecheirinha[[#This Row],[Vl. Unitário]]</f>
        <v>35.299500000000002</v>
      </c>
      <c r="F48" s="7" t="str">
        <f>VLOOKUP(TabelaFrecheirinha[[#This Row],[Código+Produto]],Base!A:C,3,0)</f>
        <v>lanche apresuntado mp</v>
      </c>
      <c r="G48" s="8" t="str">
        <f>VLOOKUP(A48,Base!A:D,4,0)</f>
        <v>EMBUTIDOS</v>
      </c>
      <c r="I48" s="10" t="s">
        <v>605</v>
      </c>
      <c r="J48" s="6" t="s">
        <v>607</v>
      </c>
      <c r="K48" s="6" t="s">
        <v>1</v>
      </c>
      <c r="L48" s="3">
        <v>110</v>
      </c>
      <c r="M48" s="5">
        <v>3.8624999999999998</v>
      </c>
      <c r="N48" s="5">
        <v>423</v>
      </c>
    </row>
    <row r="49" spans="1:14" x14ac:dyDescent="0.25">
      <c r="A49" s="1" t="s">
        <v>0</v>
      </c>
      <c r="B49" s="1" t="s">
        <v>1</v>
      </c>
      <c r="C49" s="3">
        <v>2.5499999999999998</v>
      </c>
      <c r="D49" s="2">
        <v>6.99</v>
      </c>
      <c r="E49" s="2">
        <f>TabelaFrecheirinha[[#This Row],[Qtde]]*TabelaFrecheirinha[[#This Row],[Vl. Unitário]]</f>
        <v>17.8245</v>
      </c>
      <c r="F49" s="7" t="str">
        <f>VLOOKUP(TabelaFrecheirinha[[#This Row],[Código+Produto]],Base!A:C,3,0)</f>
        <v>lanche apresuntado mp</v>
      </c>
      <c r="G49" s="8" t="str">
        <f>VLOOKUP(A49,Base!A:D,4,0)</f>
        <v>EMBUTIDOS</v>
      </c>
      <c r="I49" s="10" t="s">
        <v>605</v>
      </c>
      <c r="J49" s="6" t="s">
        <v>609</v>
      </c>
      <c r="K49" s="6" t="s">
        <v>1</v>
      </c>
      <c r="L49" s="3">
        <v>23</v>
      </c>
      <c r="M49" s="5">
        <v>12.829928571428571</v>
      </c>
      <c r="N49" s="5">
        <v>295.15379999999999</v>
      </c>
    </row>
    <row r="50" spans="1:14" x14ac:dyDescent="0.25">
      <c r="A50" s="1" t="s">
        <v>0</v>
      </c>
      <c r="B50" s="1" t="s">
        <v>1</v>
      </c>
      <c r="C50" s="3">
        <v>5</v>
      </c>
      <c r="D50" s="2">
        <v>6.99</v>
      </c>
      <c r="E50" s="2">
        <f>TabelaFrecheirinha[[#This Row],[Qtde]]*TabelaFrecheirinha[[#This Row],[Vl. Unitário]]</f>
        <v>34.950000000000003</v>
      </c>
      <c r="F50" s="7" t="str">
        <f>VLOOKUP(TabelaFrecheirinha[[#This Row],[Código+Produto]],Base!A:C,3,0)</f>
        <v>lanche apresuntado mp</v>
      </c>
      <c r="G50" s="8" t="str">
        <f>VLOOKUP(A50,Base!A:D,4,0)</f>
        <v>EMBUTIDOS</v>
      </c>
      <c r="I50" s="10" t="s">
        <v>605</v>
      </c>
      <c r="J50" s="6" t="s">
        <v>613</v>
      </c>
      <c r="K50" s="6" t="s">
        <v>1</v>
      </c>
      <c r="L50" s="3">
        <v>41.67</v>
      </c>
      <c r="M50" s="5">
        <v>7</v>
      </c>
      <c r="N50" s="5">
        <v>291.69</v>
      </c>
    </row>
    <row r="51" spans="1:14" x14ac:dyDescent="0.25">
      <c r="A51" s="1" t="s">
        <v>0</v>
      </c>
      <c r="B51" s="1" t="s">
        <v>1</v>
      </c>
      <c r="C51" s="3">
        <v>5</v>
      </c>
      <c r="D51" s="2">
        <v>7.99</v>
      </c>
      <c r="E51" s="2">
        <f>TabelaFrecheirinha[[#This Row],[Qtde]]*TabelaFrecheirinha[[#This Row],[Vl. Unitário]]</f>
        <v>39.950000000000003</v>
      </c>
      <c r="F51" s="7" t="str">
        <f>VLOOKUP(TabelaFrecheirinha[[#This Row],[Código+Produto]],Base!A:C,3,0)</f>
        <v>lanche apresuntado mp</v>
      </c>
      <c r="G51" s="8" t="str">
        <f>VLOOKUP(A51,Base!A:D,4,0)</f>
        <v>EMBUTIDOS</v>
      </c>
      <c r="I51" s="10" t="s">
        <v>605</v>
      </c>
      <c r="J51" s="6" t="s">
        <v>615</v>
      </c>
      <c r="K51" s="6" t="s">
        <v>1</v>
      </c>
      <c r="L51" s="3">
        <v>32.299999999999997</v>
      </c>
      <c r="M51" s="5">
        <v>6.5</v>
      </c>
      <c r="N51" s="5">
        <v>209.95</v>
      </c>
    </row>
    <row r="52" spans="1:14" x14ac:dyDescent="0.25">
      <c r="A52" s="1" t="s">
        <v>0</v>
      </c>
      <c r="B52" s="1" t="s">
        <v>1</v>
      </c>
      <c r="C52" s="3">
        <v>10</v>
      </c>
      <c r="D52" s="2">
        <v>7.99</v>
      </c>
      <c r="E52" s="2">
        <f>TabelaFrecheirinha[[#This Row],[Qtde]]*TabelaFrecheirinha[[#This Row],[Vl. Unitário]]</f>
        <v>79.900000000000006</v>
      </c>
      <c r="F52" s="7" t="str">
        <f>VLOOKUP(TabelaFrecheirinha[[#This Row],[Código+Produto]],Base!A:C,3,0)</f>
        <v>lanche apresuntado mp</v>
      </c>
      <c r="G52" s="8" t="str">
        <f>VLOOKUP(A52,Base!A:D,4,0)</f>
        <v>EMBUTIDOS</v>
      </c>
      <c r="I52" s="10" t="s">
        <v>605</v>
      </c>
      <c r="J52" s="9" t="s">
        <v>621</v>
      </c>
      <c r="K52" s="6" t="s">
        <v>43</v>
      </c>
      <c r="L52" s="3">
        <v>42</v>
      </c>
      <c r="M52" s="5">
        <v>2.99</v>
      </c>
      <c r="N52" s="5">
        <v>125.58</v>
      </c>
    </row>
    <row r="53" spans="1:14" x14ac:dyDescent="0.25">
      <c r="A53" s="1" t="s">
        <v>0</v>
      </c>
      <c r="B53" s="1" t="s">
        <v>1</v>
      </c>
      <c r="C53" s="3">
        <v>2.6</v>
      </c>
      <c r="D53" s="2">
        <v>7.99</v>
      </c>
      <c r="E53" s="2">
        <f>TabelaFrecheirinha[[#This Row],[Qtde]]*TabelaFrecheirinha[[#This Row],[Vl. Unitário]]</f>
        <v>20.774000000000001</v>
      </c>
      <c r="F53" s="7" t="str">
        <f>VLOOKUP(TabelaFrecheirinha[[#This Row],[Código+Produto]],Base!A:C,3,0)</f>
        <v>lanche apresuntado mp</v>
      </c>
      <c r="G53" s="8" t="str">
        <f>VLOOKUP(A53,Base!A:D,4,0)</f>
        <v>EMBUTIDOS</v>
      </c>
      <c r="I53" s="10" t="s">
        <v>605</v>
      </c>
      <c r="J53" s="10" t="s">
        <v>621</v>
      </c>
      <c r="K53" s="6" t="s">
        <v>1237</v>
      </c>
      <c r="L53" s="3">
        <v>2</v>
      </c>
      <c r="M53" s="5">
        <v>41.86</v>
      </c>
      <c r="N53" s="5">
        <v>83.72</v>
      </c>
    </row>
    <row r="54" spans="1:14" x14ac:dyDescent="0.25">
      <c r="A54" s="1" t="s">
        <v>21</v>
      </c>
      <c r="B54" s="1" t="s">
        <v>1</v>
      </c>
      <c r="C54" s="3">
        <v>4.5</v>
      </c>
      <c r="D54" s="2">
        <v>20.889299999999999</v>
      </c>
      <c r="E54" s="2">
        <f>TabelaFrecheirinha[[#This Row],[Qtde]]*TabelaFrecheirinha[[#This Row],[Vl. Unitário]]</f>
        <v>94.00184999999999</v>
      </c>
      <c r="F54" s="7" t="str">
        <f>VLOOKUP(TabelaFrecheirinha[[#This Row],[Código+Produto]],Base!A:C,3,0)</f>
        <v>linguica calabresa mp</v>
      </c>
      <c r="G54" s="8" t="str">
        <f>VLOOKUP(A54,Base!A:D,4,0)</f>
        <v>EMBUTIDOS</v>
      </c>
      <c r="I54" s="10" t="s">
        <v>605</v>
      </c>
      <c r="J54" s="6" t="s">
        <v>614</v>
      </c>
      <c r="K54" s="6" t="s">
        <v>1</v>
      </c>
      <c r="L54" s="3">
        <v>10</v>
      </c>
      <c r="M54" s="5">
        <v>4</v>
      </c>
      <c r="N54" s="5">
        <v>40</v>
      </c>
    </row>
    <row r="55" spans="1:14" x14ac:dyDescent="0.25">
      <c r="A55" s="1" t="s">
        <v>21</v>
      </c>
      <c r="B55" s="1" t="s">
        <v>1</v>
      </c>
      <c r="C55" s="3">
        <v>3</v>
      </c>
      <c r="D55" s="2">
        <v>22.94</v>
      </c>
      <c r="E55" s="2">
        <f>TabelaFrecheirinha[[#This Row],[Qtde]]*TabelaFrecheirinha[[#This Row],[Vl. Unitário]]</f>
        <v>68.820000000000007</v>
      </c>
      <c r="F55" s="7" t="str">
        <f>VLOOKUP(TabelaFrecheirinha[[#This Row],[Código+Produto]],Base!A:C,3,0)</f>
        <v>linguica calabresa mp</v>
      </c>
      <c r="G55" s="8" t="str">
        <f>VLOOKUP(A55,Base!A:D,4,0)</f>
        <v>EMBUTIDOS</v>
      </c>
      <c r="I55" s="10" t="s">
        <v>605</v>
      </c>
      <c r="J55" s="6" t="s">
        <v>628</v>
      </c>
      <c r="K55" s="6" t="s">
        <v>1</v>
      </c>
      <c r="L55" s="3">
        <v>35</v>
      </c>
      <c r="M55" s="5">
        <v>0.67</v>
      </c>
      <c r="N55" s="5">
        <v>23.450000000000003</v>
      </c>
    </row>
    <row r="56" spans="1:14" x14ac:dyDescent="0.25">
      <c r="A56" s="1" t="s">
        <v>1194</v>
      </c>
      <c r="B56" s="1" t="s">
        <v>1</v>
      </c>
      <c r="C56" s="3">
        <v>25</v>
      </c>
      <c r="D56" s="2">
        <v>18.53</v>
      </c>
      <c r="E56" s="2">
        <f>TabelaFrecheirinha[[#This Row],[Qtde]]*TabelaFrecheirinha[[#This Row],[Vl. Unitário]]</f>
        <v>463.25</v>
      </c>
      <c r="F56" s="7" t="str">
        <f>VLOOKUP(TabelaFrecheirinha[[#This Row],[Código+Produto]],Base!A:C,3,0)</f>
        <v>linguica suina mp</v>
      </c>
      <c r="G56" s="8" t="str">
        <f>VLOOKUP(A56,Base!A:D,4,0)</f>
        <v>EMBUTIDOS</v>
      </c>
      <c r="I56" s="10" t="s">
        <v>605</v>
      </c>
      <c r="J56" s="6" t="s">
        <v>619</v>
      </c>
      <c r="K56" s="6" t="s">
        <v>1</v>
      </c>
      <c r="L56" s="3">
        <v>3.3</v>
      </c>
      <c r="M56" s="5">
        <v>6.8707000000000003</v>
      </c>
      <c r="N56" s="5">
        <v>22.673310000000001</v>
      </c>
    </row>
    <row r="57" spans="1:14" x14ac:dyDescent="0.25">
      <c r="A57" s="1" t="s">
        <v>1194</v>
      </c>
      <c r="B57" s="1" t="s">
        <v>1</v>
      </c>
      <c r="C57" s="3">
        <v>10</v>
      </c>
      <c r="D57" s="2">
        <v>16.655000000000001</v>
      </c>
      <c r="E57" s="2">
        <f>TabelaFrecheirinha[[#This Row],[Qtde]]*TabelaFrecheirinha[[#This Row],[Vl. Unitário]]</f>
        <v>166.55</v>
      </c>
      <c r="F57" s="7" t="str">
        <f>VLOOKUP(TabelaFrecheirinha[[#This Row],[Código+Produto]],Base!A:C,3,0)</f>
        <v>linguica suina mp</v>
      </c>
      <c r="G57" s="8" t="str">
        <f>VLOOKUP(A57,Base!A:D,4,0)</f>
        <v>EMBUTIDOS</v>
      </c>
      <c r="I57" s="10" t="s">
        <v>605</v>
      </c>
      <c r="J57" s="6" t="s">
        <v>629</v>
      </c>
      <c r="K57" s="6" t="s">
        <v>10</v>
      </c>
      <c r="L57" s="3">
        <v>12</v>
      </c>
      <c r="M57" s="5">
        <v>1.46</v>
      </c>
      <c r="N57" s="5">
        <v>17.52</v>
      </c>
    </row>
    <row r="58" spans="1:14" x14ac:dyDescent="0.25">
      <c r="A58" s="1" t="s">
        <v>1253</v>
      </c>
      <c r="B58" s="1" t="s">
        <v>1</v>
      </c>
      <c r="C58" s="3">
        <v>7.25</v>
      </c>
      <c r="D58" s="2">
        <v>8.7899999999999991</v>
      </c>
      <c r="E58" s="2">
        <f>TabelaFrecheirinha[[#This Row],[Qtde]]*TabelaFrecheirinha[[#This Row],[Vl. Unitário]]</f>
        <v>63.727499999999992</v>
      </c>
      <c r="F58" s="7" t="str">
        <f>VLOOKUP(TabelaFrecheirinha[[#This Row],[Código+Produto]],Base!A:C,3,0)</f>
        <v>coxa e sobrecoxa mp</v>
      </c>
      <c r="G58" s="8" t="str">
        <f>VLOOKUP(A58,Base!A:D,4,0)</f>
        <v>FRANGOS E DERIVADOS</v>
      </c>
      <c r="I58" s="9"/>
      <c r="J58" s="10"/>
      <c r="K58" s="10"/>
      <c r="L58" s="3"/>
      <c r="M58" s="5"/>
      <c r="N58" s="5"/>
    </row>
    <row r="59" spans="1:14" x14ac:dyDescent="0.25">
      <c r="A59" s="1" t="s">
        <v>1253</v>
      </c>
      <c r="B59" s="1" t="s">
        <v>1</v>
      </c>
      <c r="C59" s="3">
        <v>5.8</v>
      </c>
      <c r="D59" s="2">
        <v>8.8000000000000007</v>
      </c>
      <c r="E59" s="2">
        <f>TabelaFrecheirinha[[#This Row],[Qtde]]*TabelaFrecheirinha[[#This Row],[Vl. Unitário]]</f>
        <v>51.04</v>
      </c>
      <c r="F59" s="40" t="str">
        <f>VLOOKUP(TabelaFrecheirinha[[#This Row],[Código+Produto]],Base!A:C,3,0)</f>
        <v>coxa e sobrecoxa mp</v>
      </c>
      <c r="G59" s="8" t="str">
        <f>VLOOKUP(A59,Base!A:D,4,0)</f>
        <v>FRANGOS E DERIVADOS</v>
      </c>
      <c r="I59" s="9" t="s">
        <v>113</v>
      </c>
      <c r="J59" s="6" t="s">
        <v>120</v>
      </c>
      <c r="K59" s="6" t="s">
        <v>14</v>
      </c>
      <c r="L59" s="3">
        <v>96</v>
      </c>
      <c r="M59" s="5">
        <v>9.5832999999999995</v>
      </c>
      <c r="N59" s="5">
        <v>919.99679999999989</v>
      </c>
    </row>
    <row r="60" spans="1:14" x14ac:dyDescent="0.25">
      <c r="A60" s="1" t="s">
        <v>1253</v>
      </c>
      <c r="B60" s="1" t="s">
        <v>1</v>
      </c>
      <c r="C60" s="3">
        <v>9.5</v>
      </c>
      <c r="D60" s="2">
        <v>9.3896999999999995</v>
      </c>
      <c r="E60" s="2">
        <f>TabelaFrecheirinha[[#This Row],[Qtde]]*TabelaFrecheirinha[[#This Row],[Vl. Unitário]]</f>
        <v>89.202149999999989</v>
      </c>
      <c r="F60" s="40" t="str">
        <f>VLOOKUP(TabelaFrecheirinha[[#This Row],[Código+Produto]],Base!A:C,3,0)</f>
        <v>coxa e sobrecoxa mp</v>
      </c>
      <c r="G60" s="8" t="str">
        <f>VLOOKUP(A60,Base!A:D,4,0)</f>
        <v>FRANGOS E DERIVADOS</v>
      </c>
      <c r="I60" s="10" t="s">
        <v>113</v>
      </c>
      <c r="J60" s="6" t="s">
        <v>121</v>
      </c>
      <c r="K60" s="6" t="s">
        <v>14</v>
      </c>
      <c r="L60" s="3">
        <v>96</v>
      </c>
      <c r="M60" s="5">
        <v>6.4583000000000004</v>
      </c>
      <c r="N60" s="5">
        <v>619.99680000000001</v>
      </c>
    </row>
    <row r="61" spans="1:14" x14ac:dyDescent="0.25">
      <c r="A61" s="1" t="s">
        <v>30</v>
      </c>
      <c r="B61" s="1" t="s">
        <v>1</v>
      </c>
      <c r="C61" s="3">
        <v>30</v>
      </c>
      <c r="D61" s="2">
        <v>17.414999999999999</v>
      </c>
      <c r="E61" s="2">
        <f>TabelaFrecheirinha[[#This Row],[Qtde]]*TabelaFrecheirinha[[#This Row],[Vl. Unitário]]</f>
        <v>522.44999999999993</v>
      </c>
      <c r="F61" s="7" t="str">
        <f>VLOOKUP(TabelaFrecheirinha[[#This Row],[Código+Produto]],Base!A:C,3,0)</f>
        <v>file de peito de frango mp</v>
      </c>
      <c r="G61" s="8" t="str">
        <f>VLOOKUP(A61,Base!A:D,4,0)</f>
        <v>FRANGOS E DERIVADOS</v>
      </c>
      <c r="I61" s="9"/>
      <c r="J61" s="10"/>
      <c r="K61" s="10"/>
      <c r="L61" s="3"/>
      <c r="M61" s="5"/>
      <c r="N61" s="5"/>
    </row>
    <row r="62" spans="1:14" x14ac:dyDescent="0.25">
      <c r="A62" s="1" t="s">
        <v>30</v>
      </c>
      <c r="B62" s="1" t="s">
        <v>1</v>
      </c>
      <c r="C62" s="3">
        <v>30</v>
      </c>
      <c r="D62" s="2">
        <v>17.414999999999999</v>
      </c>
      <c r="E62" s="2">
        <f>TabelaFrecheirinha[[#This Row],[Qtde]]*TabelaFrecheirinha[[#This Row],[Vl. Unitário]]</f>
        <v>522.44999999999993</v>
      </c>
      <c r="F62" s="7" t="str">
        <f>VLOOKUP(TabelaFrecheirinha[[#This Row],[Código+Produto]],Base!A:C,3,0)</f>
        <v>file de peito de frango mp</v>
      </c>
      <c r="G62" s="8" t="str">
        <f>VLOOKUP(A62,Base!A:D,4,0)</f>
        <v>FRANGOS E DERIVADOS</v>
      </c>
      <c r="I62" s="9" t="s">
        <v>562</v>
      </c>
      <c r="J62" s="6" t="s">
        <v>565</v>
      </c>
      <c r="K62" s="6" t="s">
        <v>1</v>
      </c>
      <c r="L62" s="3">
        <v>35</v>
      </c>
      <c r="M62" s="5">
        <v>17.592500000000001</v>
      </c>
      <c r="N62" s="5">
        <v>629.79999999999995</v>
      </c>
    </row>
    <row r="63" spans="1:14" x14ac:dyDescent="0.25">
      <c r="A63" s="1" t="s">
        <v>30</v>
      </c>
      <c r="B63" s="1" t="s">
        <v>1</v>
      </c>
      <c r="C63" s="3">
        <v>15</v>
      </c>
      <c r="D63" s="2">
        <v>17.414999999999999</v>
      </c>
      <c r="E63" s="2">
        <f>TabelaFrecheirinha[[#This Row],[Qtde]]*TabelaFrecheirinha[[#This Row],[Vl. Unitário]]</f>
        <v>261.22499999999997</v>
      </c>
      <c r="F63" s="7" t="str">
        <f>VLOOKUP(TabelaFrecheirinha[[#This Row],[Código+Produto]],Base!A:C,3,0)</f>
        <v>file de peito de frango mp</v>
      </c>
      <c r="G63" s="8" t="str">
        <f>VLOOKUP(A63,Base!A:D,4,0)</f>
        <v>FRANGOS E DERIVADOS</v>
      </c>
      <c r="I63" s="10" t="s">
        <v>562</v>
      </c>
      <c r="J63" s="6" t="s">
        <v>563</v>
      </c>
      <c r="K63" s="6" t="s">
        <v>1</v>
      </c>
      <c r="L63" s="3">
        <v>35.200000000000003</v>
      </c>
      <c r="M63" s="5">
        <v>7.4185714285714299</v>
      </c>
      <c r="N63" s="5">
        <v>263.64800000000002</v>
      </c>
    </row>
    <row r="64" spans="1:14" x14ac:dyDescent="0.25">
      <c r="A64" s="1" t="s">
        <v>30</v>
      </c>
      <c r="B64" s="1" t="s">
        <v>1</v>
      </c>
      <c r="C64" s="3">
        <v>15</v>
      </c>
      <c r="D64" s="2">
        <v>17.414999999999999</v>
      </c>
      <c r="E64" s="2">
        <f>TabelaFrecheirinha[[#This Row],[Qtde]]*TabelaFrecheirinha[[#This Row],[Vl. Unitário]]</f>
        <v>261.22499999999997</v>
      </c>
      <c r="F64" s="7" t="str">
        <f>VLOOKUP(TabelaFrecheirinha[[#This Row],[Código+Produto]],Base!A:C,3,0)</f>
        <v>file de peito de frango mp</v>
      </c>
      <c r="G64" s="8" t="str">
        <f>VLOOKUP(A64,Base!A:D,4,0)</f>
        <v>FRANGOS E DERIVADOS</v>
      </c>
      <c r="I64" s="10" t="s">
        <v>562</v>
      </c>
      <c r="J64" s="6" t="s">
        <v>564</v>
      </c>
      <c r="K64" s="6" t="s">
        <v>1</v>
      </c>
      <c r="L64" s="3">
        <v>7.5</v>
      </c>
      <c r="M64" s="5">
        <v>21.914650000000002</v>
      </c>
      <c r="N64" s="5">
        <v>162.82184999999998</v>
      </c>
    </row>
    <row r="65" spans="1:14" x14ac:dyDescent="0.25">
      <c r="A65" s="1" t="s">
        <v>30</v>
      </c>
      <c r="B65" s="1" t="s">
        <v>1</v>
      </c>
      <c r="C65" s="3">
        <v>30</v>
      </c>
      <c r="D65" s="2">
        <v>17.414999999999999</v>
      </c>
      <c r="E65" s="2">
        <f>TabelaFrecheirinha[[#This Row],[Qtde]]*TabelaFrecheirinha[[#This Row],[Vl. Unitário]]</f>
        <v>522.44999999999993</v>
      </c>
      <c r="F65" s="7" t="str">
        <f>VLOOKUP(TabelaFrecheirinha[[#This Row],[Código+Produto]],Base!A:C,3,0)</f>
        <v>file de peito de frango mp</v>
      </c>
      <c r="G65" s="8" t="str">
        <f>VLOOKUP(A65,Base!A:D,4,0)</f>
        <v>FRANGOS E DERIVADOS</v>
      </c>
      <c r="I65" s="9"/>
      <c r="J65" s="10"/>
      <c r="K65" s="10"/>
      <c r="L65" s="3"/>
      <c r="M65" s="5"/>
      <c r="N65" s="5"/>
    </row>
    <row r="66" spans="1:14" x14ac:dyDescent="0.25">
      <c r="A66" s="1" t="s">
        <v>30</v>
      </c>
      <c r="B66" s="1" t="s">
        <v>1</v>
      </c>
      <c r="C66" s="3">
        <v>30</v>
      </c>
      <c r="D66" s="2">
        <v>17.414999999999999</v>
      </c>
      <c r="E66" s="2">
        <f>TabelaFrecheirinha[[#This Row],[Qtde]]*TabelaFrecheirinha[[#This Row],[Vl. Unitário]]</f>
        <v>522.44999999999993</v>
      </c>
      <c r="F66" s="7" t="str">
        <f>VLOOKUP(TabelaFrecheirinha[[#This Row],[Código+Produto]],Base!A:C,3,0)</f>
        <v>file de peito de frango mp</v>
      </c>
      <c r="G66" s="8" t="str">
        <f>VLOOKUP(A66,Base!A:D,4,0)</f>
        <v>FRANGOS E DERIVADOS</v>
      </c>
      <c r="I66" s="9" t="s">
        <v>671</v>
      </c>
      <c r="J66" s="6" t="s">
        <v>847</v>
      </c>
      <c r="K66" s="6" t="s">
        <v>1</v>
      </c>
      <c r="L66" s="3">
        <v>67.05</v>
      </c>
      <c r="M66" s="5">
        <v>4.9016000000000011</v>
      </c>
      <c r="N66" s="5">
        <v>328.65228000000002</v>
      </c>
    </row>
    <row r="67" spans="1:14" x14ac:dyDescent="0.25">
      <c r="A67" s="1" t="s">
        <v>30</v>
      </c>
      <c r="B67" s="1" t="s">
        <v>1</v>
      </c>
      <c r="C67" s="3">
        <v>30</v>
      </c>
      <c r="D67" s="2">
        <v>17.414999999999999</v>
      </c>
      <c r="E67" s="2">
        <f>TabelaFrecheirinha[[#This Row],[Qtde]]*TabelaFrecheirinha[[#This Row],[Vl. Unitário]]</f>
        <v>522.44999999999993</v>
      </c>
      <c r="F67" s="7" t="str">
        <f>VLOOKUP(TabelaFrecheirinha[[#This Row],[Código+Produto]],Base!A:C,3,0)</f>
        <v>file de peito de frango mp</v>
      </c>
      <c r="G67" s="8" t="str">
        <f>VLOOKUP(A67,Base!A:D,4,0)</f>
        <v>FRANGOS E DERIVADOS</v>
      </c>
      <c r="I67" s="10" t="s">
        <v>671</v>
      </c>
      <c r="J67" s="6" t="s">
        <v>695</v>
      </c>
      <c r="K67" s="6" t="s">
        <v>6</v>
      </c>
      <c r="L67" s="3">
        <v>30.5</v>
      </c>
      <c r="M67" s="5">
        <v>6.4538200000000003</v>
      </c>
      <c r="N67" s="5">
        <v>196.8433</v>
      </c>
    </row>
    <row r="68" spans="1:14" x14ac:dyDescent="0.25">
      <c r="A68" s="1" t="s">
        <v>30</v>
      </c>
      <c r="B68" s="1" t="s">
        <v>1</v>
      </c>
      <c r="C68" s="3">
        <v>15</v>
      </c>
      <c r="D68" s="2">
        <v>16.119</v>
      </c>
      <c r="E68" s="2">
        <f>TabelaFrecheirinha[[#This Row],[Qtde]]*TabelaFrecheirinha[[#This Row],[Vl. Unitário]]</f>
        <v>241.785</v>
      </c>
      <c r="F68" s="7" t="str">
        <f>VLOOKUP(TabelaFrecheirinha[[#This Row],[Código+Produto]],Base!A:C,3,0)</f>
        <v>file de peito de frango mp</v>
      </c>
      <c r="G68" s="8" t="str">
        <f>VLOOKUP(A68,Base!A:D,4,0)</f>
        <v>FRANGOS E DERIVADOS</v>
      </c>
      <c r="I68" s="10" t="s">
        <v>671</v>
      </c>
      <c r="J68" s="6" t="s">
        <v>759</v>
      </c>
      <c r="K68" s="6" t="s">
        <v>1</v>
      </c>
      <c r="L68" s="3">
        <v>18.899999999999999</v>
      </c>
      <c r="M68" s="5">
        <v>9.2658000000000005</v>
      </c>
      <c r="N68" s="5">
        <v>175.12362000000002</v>
      </c>
    </row>
    <row r="69" spans="1:14" x14ac:dyDescent="0.25">
      <c r="A69" s="1" t="s">
        <v>30</v>
      </c>
      <c r="B69" s="1" t="s">
        <v>1</v>
      </c>
      <c r="C69" s="3">
        <v>15</v>
      </c>
      <c r="D69" s="2">
        <v>16.119</v>
      </c>
      <c r="E69" s="2">
        <f>TabelaFrecheirinha[[#This Row],[Qtde]]*TabelaFrecheirinha[[#This Row],[Vl. Unitário]]</f>
        <v>241.785</v>
      </c>
      <c r="F69" s="40" t="str">
        <f>VLOOKUP(TabelaFrecheirinha[[#This Row],[Código+Produto]],Base!A:C,3,0)</f>
        <v>file de peito de frango mp</v>
      </c>
      <c r="G69" s="8" t="str">
        <f>VLOOKUP(A69,Base!A:D,4,0)</f>
        <v>FRANGOS E DERIVADOS</v>
      </c>
      <c r="I69" s="10" t="s">
        <v>671</v>
      </c>
      <c r="J69" s="6" t="s">
        <v>758</v>
      </c>
      <c r="K69" s="6" t="s">
        <v>1</v>
      </c>
      <c r="L69" s="3">
        <v>19.8</v>
      </c>
      <c r="M69" s="5">
        <v>4.666666666666667</v>
      </c>
      <c r="N69" s="5">
        <v>91.2</v>
      </c>
    </row>
    <row r="70" spans="1:14" x14ac:dyDescent="0.25">
      <c r="A70" s="1" t="s">
        <v>22</v>
      </c>
      <c r="B70" s="1" t="s">
        <v>1</v>
      </c>
      <c r="C70" s="3">
        <v>3.3</v>
      </c>
      <c r="D70" s="2">
        <v>9.9708000000000006</v>
      </c>
      <c r="E70" s="2">
        <f>TabelaFrecheirinha[[#This Row],[Qtde]]*TabelaFrecheirinha[[#This Row],[Vl. Unitário]]</f>
        <v>32.903640000000003</v>
      </c>
      <c r="F70" s="7" t="str">
        <f>VLOOKUP(TabelaFrecheirinha[[#This Row],[Código+Produto]],Base!A:C,3,0)</f>
        <v>frango inteiro mp</v>
      </c>
      <c r="G70" s="8" t="str">
        <f>VLOOKUP(A70,Base!A:D,4,0)</f>
        <v>FRANGOS E DERIVADOS</v>
      </c>
      <c r="I70" s="10" t="s">
        <v>671</v>
      </c>
      <c r="J70" s="6" t="s">
        <v>689</v>
      </c>
      <c r="K70" s="6" t="s">
        <v>1</v>
      </c>
      <c r="L70" s="3">
        <v>3.55</v>
      </c>
      <c r="M70" s="5">
        <v>13.5</v>
      </c>
      <c r="N70" s="5">
        <v>49.05</v>
      </c>
    </row>
    <row r="71" spans="1:14" x14ac:dyDescent="0.25">
      <c r="A71" s="1" t="s">
        <v>22</v>
      </c>
      <c r="B71" s="1" t="s">
        <v>1</v>
      </c>
      <c r="C71" s="3">
        <v>6</v>
      </c>
      <c r="D71" s="2">
        <v>9.9708000000000006</v>
      </c>
      <c r="E71" s="2">
        <f>TabelaFrecheirinha[[#This Row],[Qtde]]*TabelaFrecheirinha[[#This Row],[Vl. Unitário]]</f>
        <v>59.824800000000003</v>
      </c>
      <c r="F71" s="7" t="str">
        <f>VLOOKUP(TabelaFrecheirinha[[#This Row],[Código+Produto]],Base!A:C,3,0)</f>
        <v>frango inteiro mp</v>
      </c>
      <c r="G71" s="8" t="str">
        <f>VLOOKUP(A71,Base!A:D,4,0)</f>
        <v>FRANGOS E DERIVADOS</v>
      </c>
      <c r="I71" s="10" t="s">
        <v>671</v>
      </c>
      <c r="J71" s="6" t="s">
        <v>698</v>
      </c>
      <c r="K71" s="6" t="s">
        <v>6</v>
      </c>
      <c r="L71" s="3">
        <v>10</v>
      </c>
      <c r="M71" s="5">
        <v>4</v>
      </c>
      <c r="N71" s="5">
        <v>40</v>
      </c>
    </row>
    <row r="72" spans="1:14" x14ac:dyDescent="0.25">
      <c r="A72" s="1" t="s">
        <v>22</v>
      </c>
      <c r="B72" s="1" t="s">
        <v>1</v>
      </c>
      <c r="C72" s="3">
        <v>8.85</v>
      </c>
      <c r="D72" s="2">
        <v>9.9708000000000006</v>
      </c>
      <c r="E72" s="2">
        <f>TabelaFrecheirinha[[#This Row],[Qtde]]*TabelaFrecheirinha[[#This Row],[Vl. Unitário]]</f>
        <v>88.241579999999999</v>
      </c>
      <c r="F72" s="7" t="str">
        <f>VLOOKUP(TabelaFrecheirinha[[#This Row],[Código+Produto]],Base!A:C,3,0)</f>
        <v>frango inteiro mp</v>
      </c>
      <c r="G72" s="8" t="str">
        <f>VLOOKUP(A72,Base!A:D,4,0)</f>
        <v>FRANGOS E DERIVADOS</v>
      </c>
      <c r="I72" s="10" t="s">
        <v>671</v>
      </c>
      <c r="J72" s="6" t="s">
        <v>692</v>
      </c>
      <c r="K72" s="6" t="s">
        <v>1</v>
      </c>
      <c r="L72" s="3">
        <v>9.18</v>
      </c>
      <c r="M72" s="5">
        <v>3.653866666666667</v>
      </c>
      <c r="N72" s="5">
        <v>33.543708000000002</v>
      </c>
    </row>
    <row r="73" spans="1:14" x14ac:dyDescent="0.25">
      <c r="A73" s="1" t="s">
        <v>22</v>
      </c>
      <c r="B73" s="1" t="s">
        <v>1</v>
      </c>
      <c r="C73" s="3">
        <v>5</v>
      </c>
      <c r="D73" s="2">
        <v>9.9708000000000006</v>
      </c>
      <c r="E73" s="2">
        <f>TabelaFrecheirinha[[#This Row],[Qtde]]*TabelaFrecheirinha[[#This Row],[Vl. Unitário]]</f>
        <v>49.853999999999999</v>
      </c>
      <c r="F73" s="7" t="str">
        <f>VLOOKUP(TabelaFrecheirinha[[#This Row],[Código+Produto]],Base!A:C,3,0)</f>
        <v>frango inteiro mp</v>
      </c>
      <c r="G73" s="8" t="str">
        <f>VLOOKUP(A73,Base!A:D,4,0)</f>
        <v>FRANGOS E DERIVADOS</v>
      </c>
      <c r="I73" s="10" t="s">
        <v>671</v>
      </c>
      <c r="J73" s="6" t="s">
        <v>675</v>
      </c>
      <c r="K73" s="6" t="s">
        <v>1</v>
      </c>
      <c r="L73" s="3">
        <v>2.7</v>
      </c>
      <c r="M73" s="5">
        <v>10.7</v>
      </c>
      <c r="N73" s="5">
        <v>28.89</v>
      </c>
    </row>
    <row r="74" spans="1:14" x14ac:dyDescent="0.25">
      <c r="A74" s="1" t="s">
        <v>22</v>
      </c>
      <c r="B74" s="1" t="s">
        <v>1</v>
      </c>
      <c r="C74" s="3">
        <v>5.6</v>
      </c>
      <c r="D74" s="2">
        <v>9.9708000000000006</v>
      </c>
      <c r="E74" s="2">
        <f>TabelaFrecheirinha[[#This Row],[Qtde]]*TabelaFrecheirinha[[#This Row],[Vl. Unitário]]</f>
        <v>55.836480000000002</v>
      </c>
      <c r="F74" s="7" t="str">
        <f>VLOOKUP(TabelaFrecheirinha[[#This Row],[Código+Produto]],Base!A:C,3,0)</f>
        <v>frango inteiro mp</v>
      </c>
      <c r="G74" s="8" t="str">
        <f>VLOOKUP(A74,Base!A:D,4,0)</f>
        <v>FRANGOS E DERIVADOS</v>
      </c>
      <c r="I74" s="9"/>
      <c r="J74" s="10"/>
      <c r="K74" s="10"/>
      <c r="L74" s="3"/>
      <c r="M74" s="5"/>
      <c r="N74" s="5"/>
    </row>
    <row r="75" spans="1:14" x14ac:dyDescent="0.25">
      <c r="A75" s="1" t="s">
        <v>22</v>
      </c>
      <c r="B75" s="1" t="s">
        <v>1</v>
      </c>
      <c r="C75" s="3">
        <v>21</v>
      </c>
      <c r="D75" s="2">
        <v>9.9708000000000006</v>
      </c>
      <c r="E75" s="2">
        <f>TabelaFrecheirinha[[#This Row],[Qtde]]*TabelaFrecheirinha[[#This Row],[Vl. Unitário]]</f>
        <v>209.38680000000002</v>
      </c>
      <c r="F75" s="7" t="str">
        <f>VLOOKUP(TabelaFrecheirinha[[#This Row],[Código+Produto]],Base!A:C,3,0)</f>
        <v>frango inteiro mp</v>
      </c>
      <c r="G75" s="8" t="str">
        <f>VLOOKUP(A75,Base!A:D,4,0)</f>
        <v>FRANGOS E DERIVADOS</v>
      </c>
      <c r="I75" s="6" t="s">
        <v>666</v>
      </c>
      <c r="J75" s="6" t="s">
        <v>668</v>
      </c>
      <c r="K75" s="6" t="s">
        <v>1</v>
      </c>
      <c r="L75" s="3">
        <v>34</v>
      </c>
      <c r="M75" s="5">
        <v>25</v>
      </c>
      <c r="N75" s="5">
        <v>850</v>
      </c>
    </row>
    <row r="76" spans="1:14" x14ac:dyDescent="0.25">
      <c r="A76" s="1" t="s">
        <v>22</v>
      </c>
      <c r="B76" s="1" t="s">
        <v>1</v>
      </c>
      <c r="C76" s="3">
        <v>6.25</v>
      </c>
      <c r="D76" s="2">
        <v>9.9708000000000006</v>
      </c>
      <c r="E76" s="2">
        <f>TabelaFrecheirinha[[#This Row],[Qtde]]*TabelaFrecheirinha[[#This Row],[Vl. Unitário]]</f>
        <v>62.317500000000003</v>
      </c>
      <c r="F76" s="7" t="str">
        <f>VLOOKUP(TabelaFrecheirinha[[#This Row],[Código+Produto]],Base!A:C,3,0)</f>
        <v>frango inteiro mp</v>
      </c>
      <c r="G76" s="8" t="str">
        <f>VLOOKUP(A76,Base!A:D,4,0)</f>
        <v>FRANGOS E DERIVADOS</v>
      </c>
      <c r="I76" s="9"/>
      <c r="J76" s="10"/>
      <c r="K76" s="10"/>
      <c r="L76" s="3"/>
      <c r="M76" s="5"/>
      <c r="N76" s="5"/>
    </row>
    <row r="77" spans="1:14" x14ac:dyDescent="0.25">
      <c r="A77" s="1" t="s">
        <v>22</v>
      </c>
      <c r="B77" s="1" t="s">
        <v>1</v>
      </c>
      <c r="C77" s="3">
        <v>6.1</v>
      </c>
      <c r="D77" s="2">
        <v>9.9708000000000006</v>
      </c>
      <c r="E77" s="2">
        <f>TabelaFrecheirinha[[#This Row],[Qtde]]*TabelaFrecheirinha[[#This Row],[Vl. Unitário]]</f>
        <v>60.82188</v>
      </c>
      <c r="F77" s="7" t="str">
        <f>VLOOKUP(TabelaFrecheirinha[[#This Row],[Código+Produto]],Base!A:C,3,0)</f>
        <v>frango inteiro mp</v>
      </c>
      <c r="G77" s="8" t="str">
        <f>VLOOKUP(A77,Base!A:D,4,0)</f>
        <v>FRANGOS E DERIVADOS</v>
      </c>
      <c r="I77" s="6" t="s">
        <v>656</v>
      </c>
      <c r="J77" s="6" t="s">
        <v>655</v>
      </c>
      <c r="K77" s="6" t="s">
        <v>51</v>
      </c>
      <c r="L77" s="3">
        <v>102</v>
      </c>
      <c r="M77" s="5">
        <v>7.4899999999999993</v>
      </c>
      <c r="N77" s="5">
        <v>763.98</v>
      </c>
    </row>
    <row r="78" spans="1:14" x14ac:dyDescent="0.25">
      <c r="A78" s="1" t="s">
        <v>22</v>
      </c>
      <c r="B78" s="1" t="s">
        <v>1</v>
      </c>
      <c r="C78" s="3">
        <v>7</v>
      </c>
      <c r="D78" s="2">
        <v>9.9708000000000006</v>
      </c>
      <c r="E78" s="2">
        <f>TabelaFrecheirinha[[#This Row],[Qtde]]*TabelaFrecheirinha[[#This Row],[Vl. Unitário]]</f>
        <v>69.795600000000007</v>
      </c>
      <c r="F78" s="7" t="str">
        <f>VLOOKUP(TabelaFrecheirinha[[#This Row],[Código+Produto]],Base!A:C,3,0)</f>
        <v>frango inteiro mp</v>
      </c>
      <c r="G78" s="8" t="str">
        <f>VLOOKUP(A78,Base!A:D,4,0)</f>
        <v>FRANGOS E DERIVADOS</v>
      </c>
      <c r="I78" s="9"/>
      <c r="J78" s="10"/>
      <c r="K78" s="10"/>
      <c r="L78" s="3"/>
      <c r="M78" s="5"/>
      <c r="N78" s="5"/>
    </row>
    <row r="79" spans="1:14" x14ac:dyDescent="0.25">
      <c r="A79" s="1" t="s">
        <v>22</v>
      </c>
      <c r="B79" s="1" t="s">
        <v>1</v>
      </c>
      <c r="C79" s="3">
        <v>7.4</v>
      </c>
      <c r="D79" s="2">
        <v>9.9708000000000006</v>
      </c>
      <c r="E79" s="2">
        <f>TabelaFrecheirinha[[#This Row],[Qtde]]*TabelaFrecheirinha[[#This Row],[Vl. Unitário]]</f>
        <v>73.783920000000009</v>
      </c>
      <c r="F79" s="40" t="str">
        <f>VLOOKUP(TabelaFrecheirinha[[#This Row],[Código+Produto]],Base!A:C,3,0)</f>
        <v>frango inteiro mp</v>
      </c>
      <c r="G79" s="8" t="str">
        <f>VLOOKUP(A79,Base!A:D,4,0)</f>
        <v>FRANGOS E DERIVADOS</v>
      </c>
      <c r="I79" s="9" t="s">
        <v>818</v>
      </c>
      <c r="J79" s="6" t="s">
        <v>825</v>
      </c>
      <c r="K79" s="6" t="s">
        <v>6</v>
      </c>
      <c r="L79" s="3">
        <v>3</v>
      </c>
      <c r="M79" s="5">
        <v>132.5</v>
      </c>
      <c r="N79" s="5">
        <v>397.5</v>
      </c>
    </row>
    <row r="80" spans="1:14" x14ac:dyDescent="0.25">
      <c r="A80" s="1" t="s">
        <v>2</v>
      </c>
      <c r="B80" s="1" t="s">
        <v>1</v>
      </c>
      <c r="C80" s="3">
        <v>1.2</v>
      </c>
      <c r="D80" s="2">
        <v>1.55</v>
      </c>
      <c r="E80" s="2">
        <f>TabelaFrecheirinha[[#This Row],[Qtde]]*TabelaFrecheirinha[[#This Row],[Vl. Unitário]]</f>
        <v>1.8599999999999999</v>
      </c>
      <c r="F80" s="7" t="str">
        <f>VLOOKUP(TabelaFrecheirinha[[#This Row],[Código+Produto]],Base!A:C,3,0)</f>
        <v>coentro mp</v>
      </c>
      <c r="G80" s="8" t="str">
        <f>VLOOKUP(A80,Base!A:D,4,0)</f>
        <v>HORTIFRUTI</v>
      </c>
      <c r="I80" s="10" t="s">
        <v>818</v>
      </c>
      <c r="J80" s="6" t="s">
        <v>826</v>
      </c>
      <c r="K80" s="6" t="s">
        <v>6</v>
      </c>
      <c r="L80" s="3">
        <v>2</v>
      </c>
      <c r="M80" s="5">
        <v>87.5</v>
      </c>
      <c r="N80" s="5">
        <v>175</v>
      </c>
    </row>
    <row r="81" spans="1:14" x14ac:dyDescent="0.25">
      <c r="A81" s="1" t="s">
        <v>2</v>
      </c>
      <c r="B81" s="1" t="s">
        <v>1</v>
      </c>
      <c r="C81" s="3">
        <v>1.9</v>
      </c>
      <c r="D81" s="2">
        <v>1.55</v>
      </c>
      <c r="E81" s="2">
        <f>TabelaFrecheirinha[[#This Row],[Qtde]]*TabelaFrecheirinha[[#This Row],[Vl. Unitário]]</f>
        <v>2.9449999999999998</v>
      </c>
      <c r="F81" s="7" t="str">
        <f>VLOOKUP(TabelaFrecheirinha[[#This Row],[Código+Produto]],Base!A:C,3,0)</f>
        <v>coentro mp</v>
      </c>
      <c r="G81" s="8" t="str">
        <f>VLOOKUP(A81,Base!A:D,4,0)</f>
        <v>HORTIFRUTI</v>
      </c>
      <c r="I81" s="10" t="s">
        <v>818</v>
      </c>
      <c r="J81" s="6" t="s">
        <v>820</v>
      </c>
      <c r="K81" s="6" t="s">
        <v>6</v>
      </c>
      <c r="L81" s="3">
        <v>1</v>
      </c>
      <c r="M81" s="5">
        <v>64.67</v>
      </c>
      <c r="N81" s="5">
        <v>64.67</v>
      </c>
    </row>
    <row r="82" spans="1:14" x14ac:dyDescent="0.25">
      <c r="A82" s="1" t="s">
        <v>2</v>
      </c>
      <c r="B82" s="1" t="s">
        <v>1</v>
      </c>
      <c r="C82" s="3">
        <v>1.8</v>
      </c>
      <c r="D82" s="2">
        <v>1.55</v>
      </c>
      <c r="E82" s="2">
        <f>TabelaFrecheirinha[[#This Row],[Qtde]]*TabelaFrecheirinha[[#This Row],[Vl. Unitário]]</f>
        <v>2.79</v>
      </c>
      <c r="F82" s="7" t="str">
        <f>VLOOKUP(TabelaFrecheirinha[[#This Row],[Código+Produto]],Base!A:C,3,0)</f>
        <v>coentro mp</v>
      </c>
      <c r="G82" s="8" t="str">
        <f>VLOOKUP(A82,Base!A:D,4,0)</f>
        <v>HORTIFRUTI</v>
      </c>
      <c r="I82" s="9"/>
      <c r="J82" s="10"/>
      <c r="K82" s="10"/>
      <c r="L82" s="3"/>
      <c r="M82" s="5"/>
      <c r="N82" s="5"/>
    </row>
    <row r="83" spans="1:14" x14ac:dyDescent="0.25">
      <c r="A83" s="1" t="s">
        <v>2</v>
      </c>
      <c r="B83" s="1" t="s">
        <v>1</v>
      </c>
      <c r="C83" s="3">
        <v>1.4</v>
      </c>
      <c r="D83" s="2">
        <v>1.55</v>
      </c>
      <c r="E83" s="2">
        <f>TabelaFrecheirinha[[#This Row],[Qtde]]*TabelaFrecheirinha[[#This Row],[Vl. Unitário]]</f>
        <v>2.17</v>
      </c>
      <c r="F83" s="7" t="str">
        <f>VLOOKUP(TabelaFrecheirinha[[#This Row],[Código+Produto]],Base!A:C,3,0)</f>
        <v>coentro mp</v>
      </c>
      <c r="G83" s="8" t="str">
        <f>VLOOKUP(A83,Base!A:D,4,0)</f>
        <v>HORTIFRUTI</v>
      </c>
      <c r="I83" s="9" t="s">
        <v>780</v>
      </c>
      <c r="J83" s="9" t="s">
        <v>779</v>
      </c>
      <c r="K83" s="6" t="s">
        <v>6</v>
      </c>
      <c r="L83" s="3">
        <v>5</v>
      </c>
      <c r="M83" s="5">
        <v>58.333300000000001</v>
      </c>
      <c r="N83" s="5">
        <v>291.66649999999998</v>
      </c>
    </row>
    <row r="84" spans="1:14" x14ac:dyDescent="0.25">
      <c r="A84" s="1" t="s">
        <v>2</v>
      </c>
      <c r="B84" s="1" t="s">
        <v>1</v>
      </c>
      <c r="C84" s="3">
        <v>1.65</v>
      </c>
      <c r="D84" s="2">
        <v>1.55</v>
      </c>
      <c r="E84" s="2">
        <f>TabelaFrecheirinha[[#This Row],[Qtde]]*TabelaFrecheirinha[[#This Row],[Vl. Unitário]]</f>
        <v>2.5575000000000001</v>
      </c>
      <c r="F84" s="40" t="str">
        <f>VLOOKUP(TabelaFrecheirinha[[#This Row],[Código+Produto]],Base!A:C,3,0)</f>
        <v>coentro mp</v>
      </c>
      <c r="G84" s="8" t="str">
        <f>VLOOKUP(A84,Base!A:D,4,0)</f>
        <v>HORTIFRUTI</v>
      </c>
      <c r="I84" s="10" t="s">
        <v>780</v>
      </c>
      <c r="J84" s="10" t="s">
        <v>779</v>
      </c>
      <c r="K84" s="6" t="s">
        <v>1233</v>
      </c>
      <c r="L84" s="3">
        <v>2</v>
      </c>
      <c r="M84" s="5">
        <v>58.2166</v>
      </c>
      <c r="N84" s="5">
        <v>116.4332</v>
      </c>
    </row>
    <row r="85" spans="1:14" x14ac:dyDescent="0.25">
      <c r="A85" s="1" t="s">
        <v>2</v>
      </c>
      <c r="B85" s="1" t="s">
        <v>1</v>
      </c>
      <c r="C85" s="3">
        <v>1.1000000000000001</v>
      </c>
      <c r="D85" s="2">
        <v>1.55</v>
      </c>
      <c r="E85" s="2">
        <f>TabelaFrecheirinha[[#This Row],[Qtde]]*TabelaFrecheirinha[[#This Row],[Vl. Unitário]]</f>
        <v>1.7050000000000003</v>
      </c>
      <c r="F85" s="40" t="str">
        <f>VLOOKUP(TabelaFrecheirinha[[#This Row],[Código+Produto]],Base!A:C,3,0)</f>
        <v>coentro mp</v>
      </c>
      <c r="G85" s="8" t="str">
        <f>VLOOKUP(A85,Base!A:D,4,0)</f>
        <v>HORTIFRUTI</v>
      </c>
      <c r="I85" s="9"/>
      <c r="J85" s="10"/>
      <c r="K85" s="10"/>
      <c r="L85" s="3"/>
      <c r="M85" s="5"/>
      <c r="N85" s="5"/>
    </row>
    <row r="86" spans="1:14" x14ac:dyDescent="0.25">
      <c r="A86" s="1" t="s">
        <v>2</v>
      </c>
      <c r="B86" s="1" t="s">
        <v>1</v>
      </c>
      <c r="C86" s="3">
        <v>0.9</v>
      </c>
      <c r="D86" s="2">
        <v>1.55</v>
      </c>
      <c r="E86" s="2">
        <f>TabelaFrecheirinha[[#This Row],[Qtde]]*TabelaFrecheirinha[[#This Row],[Vl. Unitário]]</f>
        <v>1.395</v>
      </c>
      <c r="F86" s="40" t="str">
        <f>VLOOKUP(TabelaFrecheirinha[[#This Row],[Código+Produto]],Base!A:C,3,0)</f>
        <v>coentro mp</v>
      </c>
      <c r="G86" s="8" t="str">
        <f>VLOOKUP(A86,Base!A:D,4,0)</f>
        <v>HORTIFRUTI</v>
      </c>
      <c r="I86" s="6" t="s">
        <v>650</v>
      </c>
      <c r="J86" s="6" t="s">
        <v>649</v>
      </c>
      <c r="K86" s="6" t="s">
        <v>57</v>
      </c>
      <c r="L86" s="3">
        <v>15</v>
      </c>
      <c r="M86" s="5">
        <v>11.163</v>
      </c>
      <c r="N86" s="5">
        <v>167.44499999999999</v>
      </c>
    </row>
    <row r="87" spans="1:14" x14ac:dyDescent="0.25">
      <c r="A87" s="1" t="s">
        <v>2</v>
      </c>
      <c r="B87" s="1" t="s">
        <v>1</v>
      </c>
      <c r="C87" s="3">
        <v>2.7</v>
      </c>
      <c r="D87" s="2">
        <v>1.55</v>
      </c>
      <c r="E87" s="2">
        <f>TabelaFrecheirinha[[#This Row],[Qtde]]*TabelaFrecheirinha[[#This Row],[Vl. Unitário]]</f>
        <v>4.1850000000000005</v>
      </c>
      <c r="F87" s="40" t="str">
        <f>VLOOKUP(TabelaFrecheirinha[[#This Row],[Código+Produto]],Base!A:C,3,0)</f>
        <v>coentro mp</v>
      </c>
      <c r="G87" s="8" t="str">
        <f>VLOOKUP(A87,Base!A:D,4,0)</f>
        <v>HORTIFRUTI</v>
      </c>
      <c r="I87" s="9"/>
      <c r="J87" s="10"/>
      <c r="K87" s="10"/>
      <c r="L87" s="3"/>
      <c r="M87" s="5"/>
      <c r="N87" s="5"/>
    </row>
    <row r="88" spans="1:14" x14ac:dyDescent="0.25">
      <c r="A88" s="1" t="s">
        <v>2</v>
      </c>
      <c r="B88" s="1" t="s">
        <v>1</v>
      </c>
      <c r="C88" s="3">
        <v>1.35</v>
      </c>
      <c r="D88" s="2">
        <v>1.55</v>
      </c>
      <c r="E88" s="2">
        <f>TabelaFrecheirinha[[#This Row],[Qtde]]*TabelaFrecheirinha[[#This Row],[Vl. Unitário]]</f>
        <v>2.0925000000000002</v>
      </c>
      <c r="F88" s="40" t="str">
        <f>VLOOKUP(TabelaFrecheirinha[[#This Row],[Código+Produto]],Base!A:C,3,0)</f>
        <v>coentro mp</v>
      </c>
      <c r="G88" s="8" t="str">
        <f>VLOOKUP(A88,Base!A:D,4,0)</f>
        <v>HORTIFRUTI</v>
      </c>
      <c r="I88" s="6" t="s">
        <v>406</v>
      </c>
      <c r="J88" s="6" t="s">
        <v>405</v>
      </c>
      <c r="K88" s="6" t="s">
        <v>14</v>
      </c>
      <c r="L88" s="3">
        <v>12</v>
      </c>
      <c r="M88" s="5">
        <v>9</v>
      </c>
      <c r="N88" s="5">
        <v>108</v>
      </c>
    </row>
    <row r="89" spans="1:14" x14ac:dyDescent="0.25">
      <c r="A89" s="1" t="s">
        <v>25</v>
      </c>
      <c r="B89" s="1" t="s">
        <v>1</v>
      </c>
      <c r="C89" s="3">
        <v>4</v>
      </c>
      <c r="D89" s="2">
        <v>2.5</v>
      </c>
      <c r="E89" s="2">
        <f>TabelaFrecheirinha[[#This Row],[Qtde]]*TabelaFrecheirinha[[#This Row],[Vl. Unitário]]</f>
        <v>10</v>
      </c>
      <c r="F89" s="7" t="str">
        <f>VLOOKUP(TabelaFrecheirinha[[#This Row],[Código+Produto]],Base!A:C,3,0)</f>
        <v>pimentao mp</v>
      </c>
      <c r="G89" s="8" t="str">
        <f>VLOOKUP(A89,Base!A:D,4,0)</f>
        <v>HORTIFRUTI</v>
      </c>
      <c r="I89" s="9"/>
      <c r="J89" s="10"/>
      <c r="K89" s="10"/>
      <c r="L89" s="3"/>
      <c r="M89" s="5"/>
      <c r="N89" s="5"/>
    </row>
    <row r="90" spans="1:14" x14ac:dyDescent="0.25">
      <c r="A90" s="1" t="s">
        <v>25</v>
      </c>
      <c r="B90" s="1" t="s">
        <v>1</v>
      </c>
      <c r="C90" s="3">
        <v>3.35</v>
      </c>
      <c r="D90" s="2">
        <v>2.5</v>
      </c>
      <c r="E90" s="2">
        <f>TabelaFrecheirinha[[#This Row],[Qtde]]*TabelaFrecheirinha[[#This Row],[Vl. Unitário]]</f>
        <v>8.375</v>
      </c>
      <c r="F90" s="7" t="str">
        <f>VLOOKUP(TabelaFrecheirinha[[#This Row],[Código+Produto]],Base!A:C,3,0)</f>
        <v>pimentao mp</v>
      </c>
      <c r="G90" s="8" t="str">
        <f>VLOOKUP(A90,Base!A:D,4,0)</f>
        <v>HORTIFRUTI</v>
      </c>
      <c r="I90" s="6" t="s">
        <v>811</v>
      </c>
      <c r="J90" s="6" t="s">
        <v>816</v>
      </c>
      <c r="K90" s="6" t="s">
        <v>6</v>
      </c>
      <c r="L90" s="3">
        <v>3</v>
      </c>
      <c r="M90" s="5">
        <v>35.5</v>
      </c>
      <c r="N90" s="5">
        <v>106.5</v>
      </c>
    </row>
    <row r="91" spans="1:14" x14ac:dyDescent="0.25">
      <c r="A91" s="1" t="s">
        <v>25</v>
      </c>
      <c r="B91" s="1" t="s">
        <v>1</v>
      </c>
      <c r="C91" s="3">
        <v>5.7</v>
      </c>
      <c r="D91" s="2">
        <v>2.5</v>
      </c>
      <c r="E91" s="2">
        <f>TabelaFrecheirinha[[#This Row],[Qtde]]*TabelaFrecheirinha[[#This Row],[Vl. Unitário]]</f>
        <v>14.25</v>
      </c>
      <c r="F91" s="7" t="str">
        <f>VLOOKUP(TabelaFrecheirinha[[#This Row],[Código+Produto]],Base!A:C,3,0)</f>
        <v>pimentao mp</v>
      </c>
      <c r="G91" s="8" t="str">
        <f>VLOOKUP(A91,Base!A:D,4,0)</f>
        <v>HORTIFRUTI</v>
      </c>
      <c r="I91" s="9"/>
      <c r="J91" s="10"/>
      <c r="K91" s="10"/>
      <c r="L91" s="3"/>
      <c r="M91" s="5"/>
      <c r="N91" s="5"/>
    </row>
    <row r="92" spans="1:14" x14ac:dyDescent="0.25">
      <c r="A92" s="1" t="s">
        <v>25</v>
      </c>
      <c r="B92" s="1" t="s">
        <v>1</v>
      </c>
      <c r="C92" s="3">
        <v>4</v>
      </c>
      <c r="D92" s="2">
        <v>2.5</v>
      </c>
      <c r="E92" s="2">
        <f>TabelaFrecheirinha[[#This Row],[Qtde]]*TabelaFrecheirinha[[#This Row],[Vl. Unitário]]</f>
        <v>10</v>
      </c>
      <c r="F92" s="7" t="str">
        <f>VLOOKUP(TabelaFrecheirinha[[#This Row],[Código+Produto]],Base!A:C,3,0)</f>
        <v>pimentao mp</v>
      </c>
      <c r="G92" s="8" t="str">
        <f>VLOOKUP(A92,Base!A:D,4,0)</f>
        <v>HORTIFRUTI</v>
      </c>
      <c r="I92" s="9" t="s">
        <v>782</v>
      </c>
      <c r="J92" s="6" t="s">
        <v>786</v>
      </c>
      <c r="K92" s="6" t="s">
        <v>1241</v>
      </c>
      <c r="L92" s="3">
        <v>1</v>
      </c>
      <c r="M92" s="5">
        <v>37.316600000000001</v>
      </c>
      <c r="N92" s="5">
        <v>37.316600000000001</v>
      </c>
    </row>
    <row r="93" spans="1:14" x14ac:dyDescent="0.25">
      <c r="A93" s="1" t="s">
        <v>25</v>
      </c>
      <c r="B93" s="1" t="s">
        <v>1</v>
      </c>
      <c r="C93" s="3">
        <v>5.8</v>
      </c>
      <c r="D93" s="2">
        <v>2.5</v>
      </c>
      <c r="E93" s="2">
        <f>TabelaFrecheirinha[[#This Row],[Qtde]]*TabelaFrecheirinha[[#This Row],[Vl. Unitário]]</f>
        <v>14.5</v>
      </c>
      <c r="F93" s="40" t="str">
        <f>VLOOKUP(TabelaFrecheirinha[[#This Row],[Código+Produto]],Base!A:C,3,0)</f>
        <v>pimentao mp</v>
      </c>
      <c r="G93" s="8" t="str">
        <f>VLOOKUP(A93,Base!A:D,4,0)</f>
        <v>HORTIFRUTI</v>
      </c>
      <c r="I93" s="10" t="s">
        <v>782</v>
      </c>
      <c r="J93" s="6" t="s">
        <v>787</v>
      </c>
      <c r="K93" s="6" t="s">
        <v>1241</v>
      </c>
      <c r="L93" s="3">
        <v>2</v>
      </c>
      <c r="M93" s="5">
        <v>16.405000000000001</v>
      </c>
      <c r="N93" s="5">
        <v>32.81</v>
      </c>
    </row>
    <row r="94" spans="1:14" x14ac:dyDescent="0.25">
      <c r="A94" s="1" t="s">
        <v>25</v>
      </c>
      <c r="B94" s="1" t="s">
        <v>1</v>
      </c>
      <c r="C94" s="3">
        <v>4.2</v>
      </c>
      <c r="D94" s="2">
        <v>2.5</v>
      </c>
      <c r="E94" s="2">
        <f>TabelaFrecheirinha[[#This Row],[Qtde]]*TabelaFrecheirinha[[#This Row],[Vl. Unitário]]</f>
        <v>10.5</v>
      </c>
      <c r="F94" s="40" t="str">
        <f>VLOOKUP(TabelaFrecheirinha[[#This Row],[Código+Produto]],Base!A:C,3,0)</f>
        <v>pimentao mp</v>
      </c>
      <c r="G94" s="8" t="str">
        <f>VLOOKUP(A94,Base!A:D,4,0)</f>
        <v>HORTIFRUTI</v>
      </c>
      <c r="I94" s="9"/>
      <c r="J94" s="10"/>
      <c r="K94" s="10"/>
      <c r="L94" s="3"/>
      <c r="M94" s="5"/>
      <c r="N94" s="5"/>
    </row>
    <row r="95" spans="1:14" x14ac:dyDescent="0.25">
      <c r="A95" s="1" t="s">
        <v>3</v>
      </c>
      <c r="B95" s="1" t="s">
        <v>1</v>
      </c>
      <c r="C95" s="3">
        <v>23</v>
      </c>
      <c r="D95" s="2">
        <v>7</v>
      </c>
      <c r="E95" s="2">
        <f>TabelaFrecheirinha[[#This Row],[Qtde]]*TabelaFrecheirinha[[#This Row],[Vl. Unitário]]</f>
        <v>161</v>
      </c>
      <c r="F95" s="7" t="str">
        <f>VLOOKUP(TabelaFrecheirinha[[#This Row],[Código+Produto]],Base!A:C,3,0)</f>
        <v>tomate mp</v>
      </c>
      <c r="G95" s="8" t="str">
        <f>VLOOKUP(A95,Base!A:D,4,0)</f>
        <v>HORTIFRUTI</v>
      </c>
      <c r="I95" s="9" t="s">
        <v>728</v>
      </c>
      <c r="J95" s="6" t="s">
        <v>741</v>
      </c>
      <c r="K95" s="6" t="s">
        <v>10</v>
      </c>
      <c r="L95" s="3">
        <v>24</v>
      </c>
      <c r="M95" s="5">
        <v>2.06</v>
      </c>
      <c r="N95" s="5">
        <v>49.44</v>
      </c>
    </row>
    <row r="96" spans="1:14" x14ac:dyDescent="0.25">
      <c r="A96" s="1" t="s">
        <v>3</v>
      </c>
      <c r="B96" s="1" t="s">
        <v>1</v>
      </c>
      <c r="C96" s="3">
        <v>26</v>
      </c>
      <c r="D96" s="2">
        <v>7</v>
      </c>
      <c r="E96" s="2">
        <f>TabelaFrecheirinha[[#This Row],[Qtde]]*TabelaFrecheirinha[[#This Row],[Vl. Unitário]]</f>
        <v>182</v>
      </c>
      <c r="F96" s="7" t="str">
        <f>VLOOKUP(TabelaFrecheirinha[[#This Row],[Código+Produto]],Base!A:C,3,0)</f>
        <v>tomate mp</v>
      </c>
      <c r="G96" s="8" t="str">
        <f>VLOOKUP(A96,Base!A:D,4,0)</f>
        <v>HORTIFRUTI</v>
      </c>
      <c r="I96" s="10" t="s">
        <v>728</v>
      </c>
      <c r="J96" s="6" t="s">
        <v>736</v>
      </c>
      <c r="K96" s="6" t="s">
        <v>6</v>
      </c>
      <c r="L96" s="3">
        <v>12</v>
      </c>
      <c r="M96" s="5">
        <v>1.54</v>
      </c>
      <c r="N96" s="5">
        <v>18.48</v>
      </c>
    </row>
    <row r="97" spans="1:14" x14ac:dyDescent="0.25">
      <c r="A97" s="1" t="s">
        <v>3</v>
      </c>
      <c r="B97" s="1" t="s">
        <v>1</v>
      </c>
      <c r="C97" s="3">
        <v>27.25</v>
      </c>
      <c r="D97" s="2">
        <v>7</v>
      </c>
      <c r="E97" s="2">
        <f>TabelaFrecheirinha[[#This Row],[Qtde]]*TabelaFrecheirinha[[#This Row],[Vl. Unitário]]</f>
        <v>190.75</v>
      </c>
      <c r="F97" s="7" t="str">
        <f>VLOOKUP(TabelaFrecheirinha[[#This Row],[Código+Produto]],Base!A:C,3,0)</f>
        <v>tomate mp</v>
      </c>
      <c r="G97" s="8" t="str">
        <f>VLOOKUP(A97,Base!A:D,4,0)</f>
        <v>HORTIFRUTI</v>
      </c>
      <c r="I97" s="9"/>
      <c r="J97" s="10"/>
      <c r="K97" s="10"/>
      <c r="L97" s="3"/>
      <c r="M97" s="5"/>
      <c r="N97" s="5"/>
    </row>
    <row r="98" spans="1:14" x14ac:dyDescent="0.25">
      <c r="A98" s="1" t="s">
        <v>3</v>
      </c>
      <c r="B98" s="1" t="s">
        <v>1</v>
      </c>
      <c r="C98" s="3">
        <v>25</v>
      </c>
      <c r="D98" s="2">
        <v>7</v>
      </c>
      <c r="E98" s="2">
        <f>TabelaFrecheirinha[[#This Row],[Qtde]]*TabelaFrecheirinha[[#This Row],[Vl. Unitário]]</f>
        <v>175</v>
      </c>
      <c r="F98" s="7" t="str">
        <f>VLOOKUP(TabelaFrecheirinha[[#This Row],[Código+Produto]],Base!A:C,3,0)</f>
        <v>tomate mp</v>
      </c>
      <c r="G98" s="8" t="str">
        <f>VLOOKUP(A98,Base!A:D,4,0)</f>
        <v>HORTIFRUTI</v>
      </c>
      <c r="I98" s="6" t="s">
        <v>637</v>
      </c>
      <c r="J98" s="6" t="s">
        <v>636</v>
      </c>
      <c r="K98" s="6" t="s">
        <v>1</v>
      </c>
      <c r="L98" s="3">
        <v>2.2000000000000002</v>
      </c>
      <c r="M98" s="5">
        <v>30.122699999999998</v>
      </c>
      <c r="N98" s="5">
        <v>66.269940000000005</v>
      </c>
    </row>
    <row r="99" spans="1:14" x14ac:dyDescent="0.25">
      <c r="A99" s="1" t="s">
        <v>3</v>
      </c>
      <c r="B99" s="1" t="s">
        <v>1</v>
      </c>
      <c r="C99" s="3">
        <v>25</v>
      </c>
      <c r="D99" s="2">
        <v>7</v>
      </c>
      <c r="E99" s="2">
        <f>TabelaFrecheirinha[[#This Row],[Qtde]]*TabelaFrecheirinha[[#This Row],[Vl. Unitário]]</f>
        <v>175</v>
      </c>
      <c r="F99" s="7" t="str">
        <f>VLOOKUP(TabelaFrecheirinha[[#This Row],[Código+Produto]],Base!A:C,3,0)</f>
        <v>tomate mp</v>
      </c>
      <c r="G99" s="8" t="str">
        <f>VLOOKUP(A99,Base!A:D,4,0)</f>
        <v>HORTIFRUTI</v>
      </c>
      <c r="I99" s="9"/>
      <c r="J99" s="10"/>
      <c r="K99" s="10"/>
      <c r="L99" s="3"/>
      <c r="M99" s="5"/>
      <c r="N99" s="5"/>
    </row>
    <row r="100" spans="1:14" x14ac:dyDescent="0.25">
      <c r="A100" s="1" t="s">
        <v>3</v>
      </c>
      <c r="B100" s="1" t="s">
        <v>1</v>
      </c>
      <c r="C100" s="3">
        <v>5</v>
      </c>
      <c r="D100" s="2">
        <v>7</v>
      </c>
      <c r="E100" s="2">
        <f>TabelaFrecheirinha[[#This Row],[Qtde]]*TabelaFrecheirinha[[#This Row],[Vl. Unitário]]</f>
        <v>35</v>
      </c>
      <c r="F100" s="7" t="str">
        <f>VLOOKUP(TabelaFrecheirinha[[#This Row],[Código+Produto]],Base!A:C,3,0)</f>
        <v>tomate mp</v>
      </c>
      <c r="G100" s="8" t="str">
        <f>VLOOKUP(A100,Base!A:D,4,0)</f>
        <v>HORTIFRUTI</v>
      </c>
      <c r="I100" s="6" t="s">
        <v>890</v>
      </c>
      <c r="J100" s="6" t="s">
        <v>896</v>
      </c>
      <c r="K100" s="6" t="s">
        <v>6</v>
      </c>
      <c r="L100" s="3">
        <v>2</v>
      </c>
      <c r="M100" s="5">
        <v>22.08</v>
      </c>
      <c r="N100" s="5">
        <v>44.16</v>
      </c>
    </row>
    <row r="101" spans="1:14" x14ac:dyDescent="0.25">
      <c r="A101" s="1" t="s">
        <v>3</v>
      </c>
      <c r="B101" s="1" t="s">
        <v>1</v>
      </c>
      <c r="C101" s="3">
        <v>26.25</v>
      </c>
      <c r="D101" s="2">
        <v>7</v>
      </c>
      <c r="E101" s="2">
        <f>TabelaFrecheirinha[[#This Row],[Qtde]]*TabelaFrecheirinha[[#This Row],[Vl. Unitário]]</f>
        <v>183.75</v>
      </c>
      <c r="F101" s="7" t="str">
        <f>VLOOKUP(TabelaFrecheirinha[[#This Row],[Código+Produto]],Base!A:C,3,0)</f>
        <v>tomate mp</v>
      </c>
      <c r="G101" s="8" t="str">
        <f>VLOOKUP(A101,Base!A:D,4,0)</f>
        <v>HORTIFRUTI</v>
      </c>
      <c r="I101" s="9"/>
      <c r="J101" s="10"/>
      <c r="K101" s="10"/>
      <c r="L101" s="3"/>
      <c r="M101" s="5"/>
      <c r="N101" s="5"/>
    </row>
    <row r="102" spans="1:14" x14ac:dyDescent="0.25">
      <c r="A102" s="1" t="s">
        <v>3</v>
      </c>
      <c r="B102" s="1" t="s">
        <v>1</v>
      </c>
      <c r="C102" s="3">
        <v>9.25</v>
      </c>
      <c r="D102" s="2">
        <v>7</v>
      </c>
      <c r="E102" s="2">
        <f>TabelaFrecheirinha[[#This Row],[Qtde]]*TabelaFrecheirinha[[#This Row],[Vl. Unitário]]</f>
        <v>64.75</v>
      </c>
      <c r="F102" s="40" t="str">
        <f>VLOOKUP(TabelaFrecheirinha[[#This Row],[Código+Produto]],Base!A:C,3,0)</f>
        <v>tomate mp</v>
      </c>
      <c r="G102" s="8" t="str">
        <f>VLOOKUP(A102,Base!A:D,4,0)</f>
        <v>HORTIFRUTI</v>
      </c>
    </row>
    <row r="103" spans="1:14" x14ac:dyDescent="0.25">
      <c r="A103" s="1" t="s">
        <v>3</v>
      </c>
      <c r="B103" s="1" t="s">
        <v>1</v>
      </c>
      <c r="C103" s="3">
        <v>25.2</v>
      </c>
      <c r="D103" s="2">
        <v>7</v>
      </c>
      <c r="E103" s="2">
        <f>TabelaFrecheirinha[[#This Row],[Qtde]]*TabelaFrecheirinha[[#This Row],[Vl. Unitário]]</f>
        <v>176.4</v>
      </c>
      <c r="F103" s="40" t="str">
        <f>VLOOKUP(TabelaFrecheirinha[[#This Row],[Código+Produto]],Base!A:C,3,0)</f>
        <v>tomate mp</v>
      </c>
      <c r="G103" s="8" t="str">
        <f>VLOOKUP(A103,Base!A:D,4,0)</f>
        <v>HORTIFRUTI</v>
      </c>
    </row>
    <row r="104" spans="1:14" x14ac:dyDescent="0.25">
      <c r="A104" s="1" t="s">
        <v>33</v>
      </c>
      <c r="B104" s="1" t="s">
        <v>1</v>
      </c>
      <c r="C104" s="3">
        <v>18</v>
      </c>
      <c r="D104" s="2">
        <v>2.1053000000000002</v>
      </c>
      <c r="E104" s="2">
        <f>TabelaFrecheirinha[[#This Row],[Qtde]]*TabelaFrecheirinha[[#This Row],[Vl. Unitário]]</f>
        <v>37.895400000000002</v>
      </c>
      <c r="F104" s="7" t="str">
        <f>VLOOKUP(TabelaFrecheirinha[[#This Row],[Código+Produto]],Base!A:C,3,0)</f>
        <v>laranja mp</v>
      </c>
      <c r="G104" s="8" t="str">
        <f>VLOOKUP(A104,Base!A:D,4,0)</f>
        <v>HORTIFRUTI</v>
      </c>
    </row>
    <row r="105" spans="1:14" x14ac:dyDescent="0.25">
      <c r="A105" s="1" t="s">
        <v>33</v>
      </c>
      <c r="B105" s="1" t="s">
        <v>1</v>
      </c>
      <c r="C105" s="3">
        <v>38</v>
      </c>
      <c r="D105" s="2">
        <v>2.1053000000000002</v>
      </c>
      <c r="E105" s="2">
        <f>TabelaFrecheirinha[[#This Row],[Qtde]]*TabelaFrecheirinha[[#This Row],[Vl. Unitário]]</f>
        <v>80.001400000000004</v>
      </c>
      <c r="F105" s="7" t="str">
        <f>VLOOKUP(TabelaFrecheirinha[[#This Row],[Código+Produto]],Base!A:C,3,0)</f>
        <v>laranja mp</v>
      </c>
      <c r="G105" s="8" t="str">
        <f>VLOOKUP(A105,Base!A:D,4,0)</f>
        <v>HORTIFRUTI</v>
      </c>
    </row>
    <row r="106" spans="1:14" x14ac:dyDescent="0.25">
      <c r="A106" s="1" t="s">
        <v>33</v>
      </c>
      <c r="B106" s="1" t="s">
        <v>1</v>
      </c>
      <c r="C106" s="3">
        <v>20</v>
      </c>
      <c r="D106" s="2">
        <v>2.1053000000000002</v>
      </c>
      <c r="E106" s="2">
        <f>TabelaFrecheirinha[[#This Row],[Qtde]]*TabelaFrecheirinha[[#This Row],[Vl. Unitário]]</f>
        <v>42.106000000000002</v>
      </c>
      <c r="F106" s="7" t="str">
        <f>VLOOKUP(TabelaFrecheirinha[[#This Row],[Código+Produto]],Base!A:C,3,0)</f>
        <v>laranja mp</v>
      </c>
      <c r="G106" s="8" t="str">
        <f>VLOOKUP(A106,Base!A:D,4,0)</f>
        <v>HORTIFRUTI</v>
      </c>
    </row>
    <row r="107" spans="1:14" x14ac:dyDescent="0.25">
      <c r="A107" s="1" t="s">
        <v>33</v>
      </c>
      <c r="B107" s="1" t="s">
        <v>1</v>
      </c>
      <c r="C107" s="3">
        <v>18</v>
      </c>
      <c r="D107" s="2">
        <v>2.1053000000000002</v>
      </c>
      <c r="E107" s="2">
        <f>TabelaFrecheirinha[[#This Row],[Qtde]]*TabelaFrecheirinha[[#This Row],[Vl. Unitário]]</f>
        <v>37.895400000000002</v>
      </c>
      <c r="F107" s="7" t="str">
        <f>VLOOKUP(TabelaFrecheirinha[[#This Row],[Código+Produto]],Base!A:C,3,0)</f>
        <v>laranja mp</v>
      </c>
      <c r="G107" s="8" t="str">
        <f>VLOOKUP(A107,Base!A:D,4,0)</f>
        <v>HORTIFRUTI</v>
      </c>
    </row>
    <row r="108" spans="1:14" x14ac:dyDescent="0.25">
      <c r="A108" s="1" t="s">
        <v>33</v>
      </c>
      <c r="B108" s="1" t="s">
        <v>1</v>
      </c>
      <c r="C108" s="3">
        <v>19</v>
      </c>
      <c r="D108" s="2">
        <v>2.1053000000000002</v>
      </c>
      <c r="E108" s="2">
        <f>TabelaFrecheirinha[[#This Row],[Qtde]]*TabelaFrecheirinha[[#This Row],[Vl. Unitário]]</f>
        <v>40.000700000000002</v>
      </c>
      <c r="F108" s="7" t="str">
        <f>VLOOKUP(TabelaFrecheirinha[[#This Row],[Código+Produto]],Base!A:C,3,0)</f>
        <v>laranja mp</v>
      </c>
      <c r="G108" s="8" t="str">
        <f>VLOOKUP(A108,Base!A:D,4,0)</f>
        <v>HORTIFRUTI</v>
      </c>
    </row>
    <row r="109" spans="1:14" x14ac:dyDescent="0.25">
      <c r="A109" s="1" t="s">
        <v>33</v>
      </c>
      <c r="B109" s="1" t="s">
        <v>1</v>
      </c>
      <c r="C109" s="3">
        <v>40</v>
      </c>
      <c r="D109" s="2">
        <v>2.1053000000000002</v>
      </c>
      <c r="E109" s="2">
        <f>TabelaFrecheirinha[[#This Row],[Qtde]]*TabelaFrecheirinha[[#This Row],[Vl. Unitário]]</f>
        <v>84.212000000000003</v>
      </c>
      <c r="F109" s="7" t="str">
        <f>VLOOKUP(TabelaFrecheirinha[[#This Row],[Código+Produto]],Base!A:C,3,0)</f>
        <v>laranja mp</v>
      </c>
      <c r="G109" s="8" t="str">
        <f>VLOOKUP(A109,Base!A:D,4,0)</f>
        <v>HORTIFRUTI</v>
      </c>
    </row>
    <row r="110" spans="1:14" x14ac:dyDescent="0.25">
      <c r="A110" s="1" t="s">
        <v>33</v>
      </c>
      <c r="B110" s="1" t="s">
        <v>1</v>
      </c>
      <c r="C110" s="3">
        <v>20</v>
      </c>
      <c r="D110" s="2">
        <v>2.1053000000000002</v>
      </c>
      <c r="E110" s="2">
        <f>TabelaFrecheirinha[[#This Row],[Qtde]]*TabelaFrecheirinha[[#This Row],[Vl. Unitário]]</f>
        <v>42.106000000000002</v>
      </c>
      <c r="F110" s="40" t="str">
        <f>VLOOKUP(TabelaFrecheirinha[[#This Row],[Código+Produto]],Base!A:C,3,0)</f>
        <v>laranja mp</v>
      </c>
      <c r="G110" s="8" t="str">
        <f>VLOOKUP(A110,Base!A:D,4,0)</f>
        <v>HORTIFRUTI</v>
      </c>
    </row>
    <row r="111" spans="1:14" x14ac:dyDescent="0.25">
      <c r="A111" s="1" t="s">
        <v>34</v>
      </c>
      <c r="B111" s="1" t="s">
        <v>1</v>
      </c>
      <c r="C111" s="3">
        <v>10</v>
      </c>
      <c r="D111" s="2">
        <v>4</v>
      </c>
      <c r="E111" s="2">
        <f>TabelaFrecheirinha[[#This Row],[Qtde]]*TabelaFrecheirinha[[#This Row],[Vl. Unitário]]</f>
        <v>40</v>
      </c>
      <c r="F111" s="7" t="str">
        <f>VLOOKUP(TabelaFrecheirinha[[#This Row],[Código+Produto]],Base!A:C,3,0)</f>
        <v>limao mp</v>
      </c>
      <c r="G111" s="8" t="str">
        <f>VLOOKUP(A111,Base!A:D,4,0)</f>
        <v>HORTIFRUTI</v>
      </c>
    </row>
    <row r="112" spans="1:14" x14ac:dyDescent="0.25">
      <c r="A112" s="1" t="s">
        <v>34</v>
      </c>
      <c r="B112" s="1" t="s">
        <v>1</v>
      </c>
      <c r="C112" s="3">
        <v>9.25</v>
      </c>
      <c r="D112" s="2">
        <v>4</v>
      </c>
      <c r="E112" s="2">
        <f>TabelaFrecheirinha[[#This Row],[Qtde]]*TabelaFrecheirinha[[#This Row],[Vl. Unitário]]</f>
        <v>37</v>
      </c>
      <c r="F112" s="7" t="str">
        <f>VLOOKUP(TabelaFrecheirinha[[#This Row],[Código+Produto]],Base!A:C,3,0)</f>
        <v>limao mp</v>
      </c>
      <c r="G112" s="8" t="str">
        <f>VLOOKUP(A112,Base!A:D,4,0)</f>
        <v>HORTIFRUTI</v>
      </c>
    </row>
    <row r="113" spans="1:7" x14ac:dyDescent="0.25">
      <c r="A113" s="1" t="s">
        <v>34</v>
      </c>
      <c r="B113" s="1" t="s">
        <v>1</v>
      </c>
      <c r="C113" s="3">
        <v>1.3</v>
      </c>
      <c r="D113" s="2">
        <v>4</v>
      </c>
      <c r="E113" s="2">
        <f>TabelaFrecheirinha[[#This Row],[Qtde]]*TabelaFrecheirinha[[#This Row],[Vl. Unitário]]</f>
        <v>5.2</v>
      </c>
      <c r="F113" s="7" t="str">
        <f>VLOOKUP(TabelaFrecheirinha[[#This Row],[Código+Produto]],Base!A:C,3,0)</f>
        <v>limao mp</v>
      </c>
      <c r="G113" s="8" t="str">
        <f>VLOOKUP(A113,Base!A:D,4,0)</f>
        <v>HORTIFRUTI</v>
      </c>
    </row>
    <row r="114" spans="1:7" x14ac:dyDescent="0.25">
      <c r="A114" s="1" t="s">
        <v>34</v>
      </c>
      <c r="B114" s="1" t="s">
        <v>1</v>
      </c>
      <c r="C114" s="3">
        <v>5.25</v>
      </c>
      <c r="D114" s="2">
        <v>4</v>
      </c>
      <c r="E114" s="2">
        <f>TabelaFrecheirinha[[#This Row],[Qtde]]*TabelaFrecheirinha[[#This Row],[Vl. Unitário]]</f>
        <v>21</v>
      </c>
      <c r="F114" s="7" t="str">
        <f>VLOOKUP(TabelaFrecheirinha[[#This Row],[Código+Produto]],Base!A:C,3,0)</f>
        <v>limao mp</v>
      </c>
      <c r="G114" s="8" t="str">
        <f>VLOOKUP(A114,Base!A:D,4,0)</f>
        <v>HORTIFRUTI</v>
      </c>
    </row>
    <row r="115" spans="1:7" x14ac:dyDescent="0.25">
      <c r="A115" s="1" t="s">
        <v>34</v>
      </c>
      <c r="B115" s="1" t="s">
        <v>1</v>
      </c>
      <c r="C115" s="3">
        <v>5.2</v>
      </c>
      <c r="D115" s="2">
        <v>4</v>
      </c>
      <c r="E115" s="2">
        <f>TabelaFrecheirinha[[#This Row],[Qtde]]*TabelaFrecheirinha[[#This Row],[Vl. Unitário]]</f>
        <v>20.8</v>
      </c>
      <c r="F115" s="7" t="str">
        <f>VLOOKUP(TabelaFrecheirinha[[#This Row],[Código+Produto]],Base!A:C,3,0)</f>
        <v>limao mp</v>
      </c>
      <c r="G115" s="8" t="str">
        <f>VLOOKUP(A115,Base!A:D,4,0)</f>
        <v>HORTIFRUTI</v>
      </c>
    </row>
    <row r="116" spans="1:7" x14ac:dyDescent="0.25">
      <c r="A116" s="1" t="s">
        <v>34</v>
      </c>
      <c r="B116" s="1" t="s">
        <v>1</v>
      </c>
      <c r="C116" s="3">
        <v>4.45</v>
      </c>
      <c r="D116" s="2">
        <v>4</v>
      </c>
      <c r="E116" s="2">
        <f>TabelaFrecheirinha[[#This Row],[Qtde]]*TabelaFrecheirinha[[#This Row],[Vl. Unitário]]</f>
        <v>17.8</v>
      </c>
      <c r="F116" s="40" t="str">
        <f>VLOOKUP(TabelaFrecheirinha[[#This Row],[Código+Produto]],Base!A:C,3,0)</f>
        <v>limao mp</v>
      </c>
      <c r="G116" s="8" t="str">
        <f>VLOOKUP(A116,Base!A:D,4,0)</f>
        <v>HORTIFRUTI</v>
      </c>
    </row>
    <row r="117" spans="1:7" x14ac:dyDescent="0.25">
      <c r="A117" s="1" t="s">
        <v>31</v>
      </c>
      <c r="B117" s="1" t="s">
        <v>1</v>
      </c>
      <c r="C117" s="3">
        <v>1.5</v>
      </c>
      <c r="D117" s="2">
        <v>35</v>
      </c>
      <c r="E117" s="2">
        <f>TabelaFrecheirinha[[#This Row],[Qtde]]*TabelaFrecheirinha[[#This Row],[Vl. Unitário]]</f>
        <v>52.5</v>
      </c>
      <c r="F117" s="40" t="str">
        <f>VLOOKUP(TabelaFrecheirinha[[#This Row],[Código+Produto]],Base!A:C,3,0)</f>
        <v>morango mp</v>
      </c>
      <c r="G117" s="8" t="str">
        <f>VLOOKUP(A117,Base!A:D,4,0)</f>
        <v>HORTIFRUTI</v>
      </c>
    </row>
    <row r="118" spans="1:7" x14ac:dyDescent="0.25">
      <c r="A118" s="1" t="s">
        <v>13</v>
      </c>
      <c r="B118" s="1" t="s">
        <v>14</v>
      </c>
      <c r="C118" s="3">
        <v>4</v>
      </c>
      <c r="D118" s="2">
        <v>3.6111</v>
      </c>
      <c r="E118" s="2">
        <f>TabelaFrecheirinha[[#This Row],[Qtde]]*TabelaFrecheirinha[[#This Row],[Vl. Unitário]]</f>
        <v>14.4444</v>
      </c>
      <c r="F118" s="7" t="str">
        <f>VLOOKUP(TabelaFrecheirinha[[#This Row],[Código+Produto]],Base!A:C,3,0)</f>
        <v>abacaxi mp</v>
      </c>
      <c r="G118" s="8" t="str">
        <f>VLOOKUP(A118,Base!A:D,4,0)</f>
        <v>HORTIFRUTI</v>
      </c>
    </row>
    <row r="119" spans="1:7" x14ac:dyDescent="0.25">
      <c r="A119" s="1" t="s">
        <v>13</v>
      </c>
      <c r="B119" s="1" t="s">
        <v>14</v>
      </c>
      <c r="C119" s="3">
        <v>2</v>
      </c>
      <c r="D119" s="2">
        <v>3.6111</v>
      </c>
      <c r="E119" s="2">
        <f>TabelaFrecheirinha[[#This Row],[Qtde]]*TabelaFrecheirinha[[#This Row],[Vl. Unitário]]</f>
        <v>7.2222</v>
      </c>
      <c r="F119" s="7" t="str">
        <f>VLOOKUP(TabelaFrecheirinha[[#This Row],[Código+Produto]],Base!A:C,3,0)</f>
        <v>abacaxi mp</v>
      </c>
      <c r="G119" s="8" t="str">
        <f>VLOOKUP(A119,Base!A:D,4,0)</f>
        <v>HORTIFRUTI</v>
      </c>
    </row>
    <row r="120" spans="1:7" x14ac:dyDescent="0.25">
      <c r="A120" s="1" t="s">
        <v>13</v>
      </c>
      <c r="B120" s="1" t="s">
        <v>14</v>
      </c>
      <c r="C120" s="3">
        <v>3</v>
      </c>
      <c r="D120" s="2">
        <v>3.6111</v>
      </c>
      <c r="E120" s="2">
        <f>TabelaFrecheirinha[[#This Row],[Qtde]]*TabelaFrecheirinha[[#This Row],[Vl. Unitário]]</f>
        <v>10.833299999999999</v>
      </c>
      <c r="F120" s="7" t="str">
        <f>VLOOKUP(TabelaFrecheirinha[[#This Row],[Código+Produto]],Base!A:C,3,0)</f>
        <v>abacaxi mp</v>
      </c>
      <c r="G120" s="8" t="str">
        <f>VLOOKUP(A120,Base!A:D,4,0)</f>
        <v>HORTIFRUTI</v>
      </c>
    </row>
    <row r="121" spans="1:7" x14ac:dyDescent="0.25">
      <c r="A121" s="1" t="s">
        <v>13</v>
      </c>
      <c r="B121" s="1" t="s">
        <v>14</v>
      </c>
      <c r="C121" s="3">
        <v>3</v>
      </c>
      <c r="D121" s="2">
        <v>3.6111</v>
      </c>
      <c r="E121" s="2">
        <f>TabelaFrecheirinha[[#This Row],[Qtde]]*TabelaFrecheirinha[[#This Row],[Vl. Unitário]]</f>
        <v>10.833299999999999</v>
      </c>
      <c r="F121" s="7" t="str">
        <f>VLOOKUP(TabelaFrecheirinha[[#This Row],[Código+Produto]],Base!A:C,3,0)</f>
        <v>abacaxi mp</v>
      </c>
      <c r="G121" s="8" t="str">
        <f>VLOOKUP(A121,Base!A:D,4,0)</f>
        <v>HORTIFRUTI</v>
      </c>
    </row>
    <row r="122" spans="1:7" x14ac:dyDescent="0.25">
      <c r="A122" s="1" t="s">
        <v>13</v>
      </c>
      <c r="B122" s="1" t="s">
        <v>14</v>
      </c>
      <c r="C122" s="3">
        <v>3</v>
      </c>
      <c r="D122" s="2">
        <v>3.6111</v>
      </c>
      <c r="E122" s="2">
        <f>TabelaFrecheirinha[[#This Row],[Qtde]]*TabelaFrecheirinha[[#This Row],[Vl. Unitário]]</f>
        <v>10.833299999999999</v>
      </c>
      <c r="F122" s="7" t="str">
        <f>VLOOKUP(TabelaFrecheirinha[[#This Row],[Código+Produto]],Base!A:C,3,0)</f>
        <v>abacaxi mp</v>
      </c>
      <c r="G122" s="8" t="str">
        <f>VLOOKUP(A122,Base!A:D,4,0)</f>
        <v>HORTIFRUTI</v>
      </c>
    </row>
    <row r="123" spans="1:7" x14ac:dyDescent="0.25">
      <c r="A123" s="1" t="s">
        <v>13</v>
      </c>
      <c r="B123" s="1" t="s">
        <v>14</v>
      </c>
      <c r="C123" s="3">
        <v>4</v>
      </c>
      <c r="D123" s="2">
        <v>3.6111</v>
      </c>
      <c r="E123" s="2">
        <f>TabelaFrecheirinha[[#This Row],[Qtde]]*TabelaFrecheirinha[[#This Row],[Vl. Unitário]]</f>
        <v>14.4444</v>
      </c>
      <c r="F123" s="7" t="str">
        <f>VLOOKUP(TabelaFrecheirinha[[#This Row],[Código+Produto]],Base!A:C,3,0)</f>
        <v>abacaxi mp</v>
      </c>
      <c r="G123" s="8" t="str">
        <f>VLOOKUP(A123,Base!A:D,4,0)</f>
        <v>HORTIFRUTI</v>
      </c>
    </row>
    <row r="124" spans="1:7" x14ac:dyDescent="0.25">
      <c r="A124" s="1" t="s">
        <v>13</v>
      </c>
      <c r="B124" s="1" t="s">
        <v>14</v>
      </c>
      <c r="C124" s="3">
        <v>3</v>
      </c>
      <c r="D124" s="2">
        <v>3.6111</v>
      </c>
      <c r="E124" s="2">
        <f>TabelaFrecheirinha[[#This Row],[Qtde]]*TabelaFrecheirinha[[#This Row],[Vl. Unitário]]</f>
        <v>10.833299999999999</v>
      </c>
      <c r="F124" s="40" t="str">
        <f>VLOOKUP(TabelaFrecheirinha[[#This Row],[Código+Produto]],Base!A:C,3,0)</f>
        <v>abacaxi mp</v>
      </c>
      <c r="G124" s="8" t="str">
        <f>VLOOKUP(A124,Base!A:D,4,0)</f>
        <v>HORTIFRUTI</v>
      </c>
    </row>
    <row r="125" spans="1:7" x14ac:dyDescent="0.25">
      <c r="A125" s="1" t="s">
        <v>13</v>
      </c>
      <c r="B125" s="1" t="s">
        <v>14</v>
      </c>
      <c r="C125" s="3">
        <v>2</v>
      </c>
      <c r="D125" s="2">
        <v>3.6111</v>
      </c>
      <c r="E125" s="2">
        <f>TabelaFrecheirinha[[#This Row],[Qtde]]*TabelaFrecheirinha[[#This Row],[Vl. Unitário]]</f>
        <v>7.2222</v>
      </c>
      <c r="F125" s="40" t="str">
        <f>VLOOKUP(TabelaFrecheirinha[[#This Row],[Código+Produto]],Base!A:C,3,0)</f>
        <v>abacaxi mp</v>
      </c>
      <c r="G125" s="8" t="str">
        <f>VLOOKUP(A125,Base!A:D,4,0)</f>
        <v>HORTIFRUTI</v>
      </c>
    </row>
    <row r="126" spans="1:7" x14ac:dyDescent="0.25">
      <c r="A126" s="1" t="s">
        <v>35</v>
      </c>
      <c r="B126" s="1" t="s">
        <v>1</v>
      </c>
      <c r="C126" s="3">
        <v>5.4</v>
      </c>
      <c r="D126" s="2">
        <v>4.8</v>
      </c>
      <c r="E126" s="2">
        <f>TabelaFrecheirinha[[#This Row],[Qtde]]*TabelaFrecheirinha[[#This Row],[Vl. Unitário]]</f>
        <v>25.92</v>
      </c>
      <c r="F126" s="40" t="str">
        <f>VLOOKUP(TabelaFrecheirinha[[#This Row],[Código+Produto]],Base!A:C,3,0)</f>
        <v>aipim mp</v>
      </c>
      <c r="G126" s="8" t="str">
        <f>VLOOKUP(A126,Base!A:D,4,0)</f>
        <v>HORTIFRUTI</v>
      </c>
    </row>
    <row r="127" spans="1:7" x14ac:dyDescent="0.25">
      <c r="A127" s="1" t="s">
        <v>26</v>
      </c>
      <c r="B127" s="1" t="s">
        <v>1</v>
      </c>
      <c r="C127" s="3">
        <v>1.9</v>
      </c>
      <c r="D127" s="2">
        <v>0.75</v>
      </c>
      <c r="E127" s="2">
        <f>TabelaFrecheirinha[[#This Row],[Qtde]]*TabelaFrecheirinha[[#This Row],[Vl. Unitário]]</f>
        <v>1.4249999999999998</v>
      </c>
      <c r="F127" s="7" t="str">
        <f>VLOOKUP(TabelaFrecheirinha[[#This Row],[Código+Produto]],Base!A:C,3,0)</f>
        <v>alface mp</v>
      </c>
      <c r="G127" s="8" t="str">
        <f>VLOOKUP(A127,Base!A:D,4,0)</f>
        <v>HORTIFRUTI</v>
      </c>
    </row>
    <row r="128" spans="1:7" x14ac:dyDescent="0.25">
      <c r="A128" s="1" t="s">
        <v>26</v>
      </c>
      <c r="B128" s="1" t="s">
        <v>1</v>
      </c>
      <c r="C128" s="3">
        <v>1.35</v>
      </c>
      <c r="D128" s="2">
        <v>0.75</v>
      </c>
      <c r="E128" s="2">
        <f>TabelaFrecheirinha[[#This Row],[Qtde]]*TabelaFrecheirinha[[#This Row],[Vl. Unitário]]</f>
        <v>1.0125000000000002</v>
      </c>
      <c r="F128" s="7" t="str">
        <f>VLOOKUP(TabelaFrecheirinha[[#This Row],[Código+Produto]],Base!A:C,3,0)</f>
        <v>alface mp</v>
      </c>
      <c r="G128" s="8" t="str">
        <f>VLOOKUP(A128,Base!A:D,4,0)</f>
        <v>HORTIFRUTI</v>
      </c>
    </row>
    <row r="129" spans="1:7" x14ac:dyDescent="0.25">
      <c r="A129" s="1" t="s">
        <v>26</v>
      </c>
      <c r="B129" s="1" t="s">
        <v>1</v>
      </c>
      <c r="C129" s="3">
        <v>1</v>
      </c>
      <c r="D129" s="2">
        <v>0.75</v>
      </c>
      <c r="E129" s="2">
        <f>TabelaFrecheirinha[[#This Row],[Qtde]]*TabelaFrecheirinha[[#This Row],[Vl. Unitário]]</f>
        <v>0.75</v>
      </c>
      <c r="F129" s="7" t="str">
        <f>VLOOKUP(TabelaFrecheirinha[[#This Row],[Código+Produto]],Base!A:C,3,0)</f>
        <v>alface mp</v>
      </c>
      <c r="G129" s="8" t="str">
        <f>VLOOKUP(A129,Base!A:D,4,0)</f>
        <v>HORTIFRUTI</v>
      </c>
    </row>
    <row r="130" spans="1:7" x14ac:dyDescent="0.25">
      <c r="A130" s="1" t="s">
        <v>26</v>
      </c>
      <c r="B130" s="1" t="s">
        <v>1</v>
      </c>
      <c r="C130" s="3">
        <v>1.75</v>
      </c>
      <c r="D130" s="2">
        <v>0.75</v>
      </c>
      <c r="E130" s="2">
        <f>TabelaFrecheirinha[[#This Row],[Qtde]]*TabelaFrecheirinha[[#This Row],[Vl. Unitário]]</f>
        <v>1.3125</v>
      </c>
      <c r="F130" s="7" t="str">
        <f>VLOOKUP(TabelaFrecheirinha[[#This Row],[Código+Produto]],Base!A:C,3,0)</f>
        <v>alface mp</v>
      </c>
      <c r="G130" s="8" t="str">
        <f>VLOOKUP(A130,Base!A:D,4,0)</f>
        <v>HORTIFRUTI</v>
      </c>
    </row>
    <row r="131" spans="1:7" x14ac:dyDescent="0.25">
      <c r="A131" s="1" t="s">
        <v>26</v>
      </c>
      <c r="B131" s="1" t="s">
        <v>1</v>
      </c>
      <c r="C131" s="3">
        <v>1.6</v>
      </c>
      <c r="D131" s="2">
        <v>0.75</v>
      </c>
      <c r="E131" s="2">
        <f>TabelaFrecheirinha[[#This Row],[Qtde]]*TabelaFrecheirinha[[#This Row],[Vl. Unitário]]</f>
        <v>1.2000000000000002</v>
      </c>
      <c r="F131" s="7" t="str">
        <f>VLOOKUP(TabelaFrecheirinha[[#This Row],[Código+Produto]],Base!A:C,3,0)</f>
        <v>alface mp</v>
      </c>
      <c r="G131" s="8" t="str">
        <f>VLOOKUP(A131,Base!A:D,4,0)</f>
        <v>HORTIFRUTI</v>
      </c>
    </row>
    <row r="132" spans="1:7" x14ac:dyDescent="0.25">
      <c r="A132" s="1" t="s">
        <v>26</v>
      </c>
      <c r="B132" s="1" t="s">
        <v>1</v>
      </c>
      <c r="C132" s="3">
        <v>1.05</v>
      </c>
      <c r="D132" s="2">
        <v>0.75</v>
      </c>
      <c r="E132" s="2">
        <f>TabelaFrecheirinha[[#This Row],[Qtde]]*TabelaFrecheirinha[[#This Row],[Vl. Unitário]]</f>
        <v>0.78750000000000009</v>
      </c>
      <c r="F132" s="40" t="str">
        <f>VLOOKUP(TabelaFrecheirinha[[#This Row],[Código+Produto]],Base!A:C,3,0)</f>
        <v>alface mp</v>
      </c>
      <c r="G132" s="8" t="str">
        <f>VLOOKUP(A132,Base!A:D,4,0)</f>
        <v>HORTIFRUTI</v>
      </c>
    </row>
    <row r="133" spans="1:7" x14ac:dyDescent="0.25">
      <c r="A133" s="1" t="s">
        <v>26</v>
      </c>
      <c r="B133" s="1" t="s">
        <v>1</v>
      </c>
      <c r="C133" s="3">
        <v>0.9</v>
      </c>
      <c r="D133" s="2">
        <v>0.75</v>
      </c>
      <c r="E133" s="2">
        <f>TabelaFrecheirinha[[#This Row],[Qtde]]*TabelaFrecheirinha[[#This Row],[Vl. Unitário]]</f>
        <v>0.67500000000000004</v>
      </c>
      <c r="F133" s="40" t="str">
        <f>VLOOKUP(TabelaFrecheirinha[[#This Row],[Código+Produto]],Base!A:C,3,0)</f>
        <v>alface mp</v>
      </c>
      <c r="G133" s="8" t="str">
        <f>VLOOKUP(A133,Base!A:D,4,0)</f>
        <v>HORTIFRUTI</v>
      </c>
    </row>
    <row r="134" spans="1:7" x14ac:dyDescent="0.25">
      <c r="A134" s="1" t="s">
        <v>26</v>
      </c>
      <c r="B134" s="1" t="s">
        <v>1</v>
      </c>
      <c r="C134" s="3">
        <v>1.1000000000000001</v>
      </c>
      <c r="D134" s="2">
        <v>0.75</v>
      </c>
      <c r="E134" s="2">
        <f>TabelaFrecheirinha[[#This Row],[Qtde]]*TabelaFrecheirinha[[#This Row],[Vl. Unitário]]</f>
        <v>0.82500000000000007</v>
      </c>
      <c r="F134" s="40" t="str">
        <f>VLOOKUP(TabelaFrecheirinha[[#This Row],[Código+Produto]],Base!A:C,3,0)</f>
        <v>alface mp</v>
      </c>
      <c r="G134" s="8" t="str">
        <f>VLOOKUP(A134,Base!A:D,4,0)</f>
        <v>HORTIFRUTI</v>
      </c>
    </row>
    <row r="135" spans="1:7" x14ac:dyDescent="0.25">
      <c r="A135" s="1" t="s">
        <v>26</v>
      </c>
      <c r="B135" s="1" t="s">
        <v>1</v>
      </c>
      <c r="C135" s="3">
        <v>0.9</v>
      </c>
      <c r="D135" s="2">
        <v>0.75</v>
      </c>
      <c r="E135" s="2">
        <f>TabelaFrecheirinha[[#This Row],[Qtde]]*TabelaFrecheirinha[[#This Row],[Vl. Unitário]]</f>
        <v>0.67500000000000004</v>
      </c>
      <c r="F135" s="40" t="str">
        <f>VLOOKUP(TabelaFrecheirinha[[#This Row],[Código+Produto]],Base!A:C,3,0)</f>
        <v>alface mp</v>
      </c>
      <c r="G135" s="8" t="str">
        <f>VLOOKUP(A135,Base!A:D,4,0)</f>
        <v>HORTIFRUTI</v>
      </c>
    </row>
    <row r="136" spans="1:7" x14ac:dyDescent="0.25">
      <c r="A136" s="1" t="s">
        <v>52</v>
      </c>
      <c r="B136" s="1" t="s">
        <v>1</v>
      </c>
      <c r="C136" s="3">
        <v>3.2</v>
      </c>
      <c r="D136" s="2">
        <v>8</v>
      </c>
      <c r="E136" s="2">
        <f>TabelaFrecheirinha[[#This Row],[Qtde]]*TabelaFrecheirinha[[#This Row],[Vl. Unitário]]</f>
        <v>25.6</v>
      </c>
      <c r="F136" s="7" t="str">
        <f>VLOOKUP(TabelaFrecheirinha[[#This Row],[Código+Produto]],Base!A:C,3,0)</f>
        <v>alho mp</v>
      </c>
      <c r="G136" s="8" t="str">
        <f>VLOOKUP(A136,Base!A:D,4,0)</f>
        <v>HORTIFRUTI</v>
      </c>
    </row>
    <row r="137" spans="1:7" x14ac:dyDescent="0.25">
      <c r="A137" s="1" t="s">
        <v>52</v>
      </c>
      <c r="B137" s="1" t="s">
        <v>1</v>
      </c>
      <c r="C137" s="3">
        <v>2.2000000000000002</v>
      </c>
      <c r="D137" s="2">
        <v>8</v>
      </c>
      <c r="E137" s="2">
        <f>TabelaFrecheirinha[[#This Row],[Qtde]]*TabelaFrecheirinha[[#This Row],[Vl. Unitário]]</f>
        <v>17.600000000000001</v>
      </c>
      <c r="F137" s="7" t="str">
        <f>VLOOKUP(TabelaFrecheirinha[[#This Row],[Código+Produto]],Base!A:C,3,0)</f>
        <v>alho mp</v>
      </c>
      <c r="G137" s="8" t="str">
        <f>VLOOKUP(A137,Base!A:D,4,0)</f>
        <v>HORTIFRUTI</v>
      </c>
    </row>
    <row r="138" spans="1:7" x14ac:dyDescent="0.25">
      <c r="A138" s="1" t="s">
        <v>52</v>
      </c>
      <c r="B138" s="1" t="s">
        <v>1</v>
      </c>
      <c r="C138" s="3">
        <v>1.85</v>
      </c>
      <c r="D138" s="2">
        <v>8</v>
      </c>
      <c r="E138" s="2">
        <f>TabelaFrecheirinha[[#This Row],[Qtde]]*TabelaFrecheirinha[[#This Row],[Vl. Unitário]]</f>
        <v>14.8</v>
      </c>
      <c r="F138" s="7" t="str">
        <f>VLOOKUP(TabelaFrecheirinha[[#This Row],[Código+Produto]],Base!A:C,3,0)</f>
        <v>alho mp</v>
      </c>
      <c r="G138" s="8" t="str">
        <f>VLOOKUP(A138,Base!A:D,4,0)</f>
        <v>HORTIFRUTI</v>
      </c>
    </row>
    <row r="139" spans="1:7" x14ac:dyDescent="0.25">
      <c r="A139" s="1" t="s">
        <v>1195</v>
      </c>
      <c r="B139" s="1" t="s">
        <v>1</v>
      </c>
      <c r="C139" s="3">
        <v>25</v>
      </c>
      <c r="D139" s="2">
        <v>2.7082999999999999</v>
      </c>
      <c r="E139" s="2">
        <f>TabelaFrecheirinha[[#This Row],[Qtde]]*TabelaFrecheirinha[[#This Row],[Vl. Unitário]]</f>
        <v>67.707499999999996</v>
      </c>
      <c r="F139" s="7" t="str">
        <f>VLOOKUP(TabelaFrecheirinha[[#This Row],[Código+Produto]],Base!A:C,3,0)</f>
        <v>batata inglesa mp</v>
      </c>
      <c r="G139" s="8" t="str">
        <f>VLOOKUP(A139,Base!A:D,4,0)</f>
        <v>HORTIFRUTI</v>
      </c>
    </row>
    <row r="140" spans="1:7" x14ac:dyDescent="0.25">
      <c r="A140" s="1" t="s">
        <v>1195</v>
      </c>
      <c r="B140" s="1" t="s">
        <v>1</v>
      </c>
      <c r="C140" s="3">
        <v>20</v>
      </c>
      <c r="D140" s="2">
        <v>2.7082999999999999</v>
      </c>
      <c r="E140" s="2">
        <f>TabelaFrecheirinha[[#This Row],[Qtde]]*TabelaFrecheirinha[[#This Row],[Vl. Unitário]]</f>
        <v>54.165999999999997</v>
      </c>
      <c r="F140" s="7" t="str">
        <f>VLOOKUP(TabelaFrecheirinha[[#This Row],[Código+Produto]],Base!A:C,3,0)</f>
        <v>batata inglesa mp</v>
      </c>
      <c r="G140" s="8" t="str">
        <f>VLOOKUP(A140,Base!A:D,4,0)</f>
        <v>HORTIFRUTI</v>
      </c>
    </row>
    <row r="141" spans="1:7" x14ac:dyDescent="0.25">
      <c r="A141" s="1" t="s">
        <v>1195</v>
      </c>
      <c r="B141" s="1" t="s">
        <v>1</v>
      </c>
      <c r="C141" s="3">
        <v>20</v>
      </c>
      <c r="D141" s="2">
        <v>2.7082999999999999</v>
      </c>
      <c r="E141" s="2">
        <f>TabelaFrecheirinha[[#This Row],[Qtde]]*TabelaFrecheirinha[[#This Row],[Vl. Unitário]]</f>
        <v>54.165999999999997</v>
      </c>
      <c r="F141" s="7" t="str">
        <f>VLOOKUP(TabelaFrecheirinha[[#This Row],[Código+Produto]],Base!A:C,3,0)</f>
        <v>batata inglesa mp</v>
      </c>
      <c r="G141" s="8" t="str">
        <f>VLOOKUP(A141,Base!A:D,4,0)</f>
        <v>HORTIFRUTI</v>
      </c>
    </row>
    <row r="142" spans="1:7" x14ac:dyDescent="0.25">
      <c r="A142" s="1" t="s">
        <v>1195</v>
      </c>
      <c r="B142" s="1" t="s">
        <v>1</v>
      </c>
      <c r="C142" s="3">
        <v>24</v>
      </c>
      <c r="D142" s="2">
        <v>2.7082999999999999</v>
      </c>
      <c r="E142" s="2">
        <f>TabelaFrecheirinha[[#This Row],[Qtde]]*TabelaFrecheirinha[[#This Row],[Vl. Unitário]]</f>
        <v>64.999200000000002</v>
      </c>
      <c r="F142" s="7" t="str">
        <f>VLOOKUP(TabelaFrecheirinha[[#This Row],[Código+Produto]],Base!A:C,3,0)</f>
        <v>batata inglesa mp</v>
      </c>
      <c r="G142" s="8" t="str">
        <f>VLOOKUP(A142,Base!A:D,4,0)</f>
        <v>HORTIFRUTI</v>
      </c>
    </row>
    <row r="143" spans="1:7" x14ac:dyDescent="0.25">
      <c r="A143" s="1" t="s">
        <v>1195</v>
      </c>
      <c r="B143" s="1" t="s">
        <v>1</v>
      </c>
      <c r="C143" s="3">
        <v>21</v>
      </c>
      <c r="D143" s="2">
        <v>2.7082999999999999</v>
      </c>
      <c r="E143" s="2">
        <f>TabelaFrecheirinha[[#This Row],[Qtde]]*TabelaFrecheirinha[[#This Row],[Vl. Unitário]]</f>
        <v>56.874299999999998</v>
      </c>
      <c r="F143" s="7" t="str">
        <f>VLOOKUP(TabelaFrecheirinha[[#This Row],[Código+Produto]],Base!A:C,3,0)</f>
        <v>batata inglesa mp</v>
      </c>
      <c r="G143" s="8" t="str">
        <f>VLOOKUP(A143,Base!A:D,4,0)</f>
        <v>HORTIFRUTI</v>
      </c>
    </row>
    <row r="144" spans="1:7" x14ac:dyDescent="0.25">
      <c r="A144" s="1" t="s">
        <v>1195</v>
      </c>
      <c r="B144" s="1" t="s">
        <v>1</v>
      </c>
      <c r="C144" s="3">
        <v>6</v>
      </c>
      <c r="D144" s="2">
        <v>2.7082999999999999</v>
      </c>
      <c r="E144" s="2">
        <f>TabelaFrecheirinha[[#This Row],[Qtde]]*TabelaFrecheirinha[[#This Row],[Vl. Unitário]]</f>
        <v>16.2498</v>
      </c>
      <c r="F144" s="40" t="str">
        <f>VLOOKUP(TabelaFrecheirinha[[#This Row],[Código+Produto]],Base!A:C,3,0)</f>
        <v>batata inglesa mp</v>
      </c>
      <c r="G144" s="8" t="str">
        <f>VLOOKUP(A144,Base!A:D,4,0)</f>
        <v>HORTIFRUTI</v>
      </c>
    </row>
    <row r="145" spans="1:7" x14ac:dyDescent="0.25">
      <c r="A145" s="1" t="s">
        <v>48</v>
      </c>
      <c r="B145" s="1" t="s">
        <v>1</v>
      </c>
      <c r="C145" s="3">
        <v>4.7</v>
      </c>
      <c r="D145" s="2">
        <v>6.2868000000000004</v>
      </c>
      <c r="E145" s="2">
        <f>TabelaFrecheirinha[[#This Row],[Qtde]]*TabelaFrecheirinha[[#This Row],[Vl. Unitário]]</f>
        <v>29.547960000000003</v>
      </c>
      <c r="F145" s="7" t="str">
        <f>VLOOKUP(TabelaFrecheirinha[[#This Row],[Código+Produto]],Base!A:C,3,0)</f>
        <v>brocolis mp</v>
      </c>
      <c r="G145" s="8" t="str">
        <f>VLOOKUP(A145,Base!A:D,4,0)</f>
        <v>HORTIFRUTI</v>
      </c>
    </row>
    <row r="146" spans="1:7" x14ac:dyDescent="0.25">
      <c r="A146" s="1" t="s">
        <v>48</v>
      </c>
      <c r="B146" s="1" t="s">
        <v>1</v>
      </c>
      <c r="C146" s="3">
        <v>2.57</v>
      </c>
      <c r="D146" s="2">
        <v>6.2868000000000004</v>
      </c>
      <c r="E146" s="2">
        <f>TabelaFrecheirinha[[#This Row],[Qtde]]*TabelaFrecheirinha[[#This Row],[Vl. Unitário]]</f>
        <v>16.157076</v>
      </c>
      <c r="F146" s="40" t="str">
        <f>VLOOKUP(TabelaFrecheirinha[[#This Row],[Código+Produto]],Base!A:C,3,0)</f>
        <v>brocolis mp</v>
      </c>
      <c r="G146" s="8" t="str">
        <f>VLOOKUP(A146,Base!A:D,4,0)</f>
        <v>HORTIFRUTI</v>
      </c>
    </row>
    <row r="147" spans="1:7" x14ac:dyDescent="0.25">
      <c r="A147" s="1" t="s">
        <v>32</v>
      </c>
      <c r="B147" s="1" t="s">
        <v>1</v>
      </c>
      <c r="C147" s="3">
        <v>20</v>
      </c>
      <c r="D147" s="2">
        <v>1.7</v>
      </c>
      <c r="E147" s="2">
        <f>TabelaFrecheirinha[[#This Row],[Qtde]]*TabelaFrecheirinha[[#This Row],[Vl. Unitário]]</f>
        <v>34</v>
      </c>
      <c r="F147" s="7" t="str">
        <f>VLOOKUP(TabelaFrecheirinha[[#This Row],[Código+Produto]],Base!A:C,3,0)</f>
        <v>cebola branca mp</v>
      </c>
      <c r="G147" s="8" t="str">
        <f>VLOOKUP(A147,Base!A:D,4,0)</f>
        <v>HORTIFRUTI</v>
      </c>
    </row>
    <row r="148" spans="1:7" x14ac:dyDescent="0.25">
      <c r="A148" s="1" t="s">
        <v>32</v>
      </c>
      <c r="B148" s="1" t="s">
        <v>1</v>
      </c>
      <c r="C148" s="3">
        <v>20</v>
      </c>
      <c r="D148" s="2">
        <v>1.7</v>
      </c>
      <c r="E148" s="2">
        <f>TabelaFrecheirinha[[#This Row],[Qtde]]*TabelaFrecheirinha[[#This Row],[Vl. Unitário]]</f>
        <v>34</v>
      </c>
      <c r="F148" s="7" t="str">
        <f>VLOOKUP(TabelaFrecheirinha[[#This Row],[Código+Produto]],Base!A:C,3,0)</f>
        <v>cebola branca mp</v>
      </c>
      <c r="G148" s="8" t="str">
        <f>VLOOKUP(A148,Base!A:D,4,0)</f>
        <v>HORTIFRUTI</v>
      </c>
    </row>
    <row r="149" spans="1:7" x14ac:dyDescent="0.25">
      <c r="A149" s="1" t="s">
        <v>32</v>
      </c>
      <c r="B149" s="1" t="s">
        <v>1</v>
      </c>
      <c r="C149" s="3">
        <v>19.55</v>
      </c>
      <c r="D149" s="2">
        <v>1.7</v>
      </c>
      <c r="E149" s="2">
        <f>TabelaFrecheirinha[[#This Row],[Qtde]]*TabelaFrecheirinha[[#This Row],[Vl. Unitário]]</f>
        <v>33.234999999999999</v>
      </c>
      <c r="F149" s="7" t="str">
        <f>VLOOKUP(TabelaFrecheirinha[[#This Row],[Código+Produto]],Base!A:C,3,0)</f>
        <v>cebola branca mp</v>
      </c>
      <c r="G149" s="8" t="str">
        <f>VLOOKUP(A149,Base!A:D,4,0)</f>
        <v>HORTIFRUTI</v>
      </c>
    </row>
    <row r="150" spans="1:7" x14ac:dyDescent="0.25">
      <c r="A150" s="1" t="s">
        <v>32</v>
      </c>
      <c r="B150" s="1" t="s">
        <v>1</v>
      </c>
      <c r="C150" s="3">
        <v>20</v>
      </c>
      <c r="D150" s="2">
        <v>1.7</v>
      </c>
      <c r="E150" s="2">
        <f>TabelaFrecheirinha[[#This Row],[Qtde]]*TabelaFrecheirinha[[#This Row],[Vl. Unitário]]</f>
        <v>34</v>
      </c>
      <c r="F150" s="7" t="str">
        <f>VLOOKUP(TabelaFrecheirinha[[#This Row],[Código+Produto]],Base!A:C,3,0)</f>
        <v>cebola branca mp</v>
      </c>
      <c r="G150" s="8" t="str">
        <f>VLOOKUP(A150,Base!A:D,4,0)</f>
        <v>HORTIFRUTI</v>
      </c>
    </row>
    <row r="151" spans="1:7" x14ac:dyDescent="0.25">
      <c r="A151" s="1" t="s">
        <v>32</v>
      </c>
      <c r="B151" s="1" t="s">
        <v>1</v>
      </c>
      <c r="C151" s="3">
        <v>20</v>
      </c>
      <c r="D151" s="2">
        <v>1.7</v>
      </c>
      <c r="E151" s="2">
        <f>TabelaFrecheirinha[[#This Row],[Qtde]]*TabelaFrecheirinha[[#This Row],[Vl. Unitário]]</f>
        <v>34</v>
      </c>
      <c r="F151" s="7" t="str">
        <f>VLOOKUP(TabelaFrecheirinha[[#This Row],[Código+Produto]],Base!A:C,3,0)</f>
        <v>cebola branca mp</v>
      </c>
      <c r="G151" s="8" t="str">
        <f>VLOOKUP(A151,Base!A:D,4,0)</f>
        <v>HORTIFRUTI</v>
      </c>
    </row>
    <row r="152" spans="1:7" x14ac:dyDescent="0.25">
      <c r="A152" s="1" t="s">
        <v>4</v>
      </c>
      <c r="B152" s="1" t="s">
        <v>1</v>
      </c>
      <c r="C152" s="3">
        <v>4.6500000000000004</v>
      </c>
      <c r="D152" s="2">
        <v>2.5</v>
      </c>
      <c r="E152" s="2">
        <f>TabelaFrecheirinha[[#This Row],[Qtde]]*TabelaFrecheirinha[[#This Row],[Vl. Unitário]]</f>
        <v>11.625</v>
      </c>
      <c r="F152" s="7" t="str">
        <f>VLOOKUP(TabelaFrecheirinha[[#This Row],[Código+Produto]],Base!A:C,3,0)</f>
        <v>cenoura mp</v>
      </c>
      <c r="G152" s="8" t="str">
        <f>VLOOKUP(A152,Base!A:D,4,0)</f>
        <v>HORTIFRUTI</v>
      </c>
    </row>
    <row r="153" spans="1:7" x14ac:dyDescent="0.25">
      <c r="A153" s="1" t="s">
        <v>4</v>
      </c>
      <c r="B153" s="1" t="s">
        <v>1</v>
      </c>
      <c r="C153" s="3">
        <v>12</v>
      </c>
      <c r="D153" s="2">
        <v>3</v>
      </c>
      <c r="E153" s="2">
        <f>TabelaFrecheirinha[[#This Row],[Qtde]]*TabelaFrecheirinha[[#This Row],[Vl. Unitário]]</f>
        <v>36</v>
      </c>
      <c r="F153" s="7" t="str">
        <f>VLOOKUP(TabelaFrecheirinha[[#This Row],[Código+Produto]],Base!A:C,3,0)</f>
        <v>cenoura mp</v>
      </c>
      <c r="G153" s="8" t="str">
        <f>VLOOKUP(A153,Base!A:D,4,0)</f>
        <v>HORTIFRUTI</v>
      </c>
    </row>
    <row r="154" spans="1:7" x14ac:dyDescent="0.25">
      <c r="A154" s="1" t="s">
        <v>4</v>
      </c>
      <c r="B154" s="1" t="s">
        <v>1</v>
      </c>
      <c r="C154" s="3">
        <v>21.18</v>
      </c>
      <c r="D154" s="2">
        <v>2.5</v>
      </c>
      <c r="E154" s="2">
        <f>TabelaFrecheirinha[[#This Row],[Qtde]]*TabelaFrecheirinha[[#This Row],[Vl. Unitário]]</f>
        <v>52.95</v>
      </c>
      <c r="F154" s="7" t="str">
        <f>VLOOKUP(TabelaFrecheirinha[[#This Row],[Código+Produto]],Base!A:C,3,0)</f>
        <v>cenoura mp</v>
      </c>
      <c r="G154" s="8" t="str">
        <f>VLOOKUP(A154,Base!A:D,4,0)</f>
        <v>HORTIFRUTI</v>
      </c>
    </row>
    <row r="155" spans="1:7" x14ac:dyDescent="0.25">
      <c r="A155" s="1" t="s">
        <v>4</v>
      </c>
      <c r="B155" s="1" t="s">
        <v>1</v>
      </c>
      <c r="C155" s="3">
        <v>8</v>
      </c>
      <c r="D155" s="2">
        <v>2.5</v>
      </c>
      <c r="E155" s="2">
        <f>TabelaFrecheirinha[[#This Row],[Qtde]]*TabelaFrecheirinha[[#This Row],[Vl. Unitário]]</f>
        <v>20</v>
      </c>
      <c r="F155" s="7" t="str">
        <f>VLOOKUP(TabelaFrecheirinha[[#This Row],[Código+Produto]],Base!A:C,3,0)</f>
        <v>cenoura mp</v>
      </c>
      <c r="G155" s="8" t="str">
        <f>VLOOKUP(A155,Base!A:D,4,0)</f>
        <v>HORTIFRUTI</v>
      </c>
    </row>
    <row r="156" spans="1:7" x14ac:dyDescent="0.25">
      <c r="A156" s="1" t="s">
        <v>4</v>
      </c>
      <c r="B156" s="1" t="s">
        <v>1</v>
      </c>
      <c r="C156" s="3">
        <v>22</v>
      </c>
      <c r="D156" s="2">
        <v>3</v>
      </c>
      <c r="E156" s="2">
        <f>TabelaFrecheirinha[[#This Row],[Qtde]]*TabelaFrecheirinha[[#This Row],[Vl. Unitário]]</f>
        <v>66</v>
      </c>
      <c r="F156" s="7" t="str">
        <f>VLOOKUP(TabelaFrecheirinha[[#This Row],[Código+Produto]],Base!A:C,3,0)</f>
        <v>cenoura mp</v>
      </c>
      <c r="G156" s="8" t="str">
        <f>VLOOKUP(A156,Base!A:D,4,0)</f>
        <v>HORTIFRUTI</v>
      </c>
    </row>
    <row r="157" spans="1:7" x14ac:dyDescent="0.25">
      <c r="A157" s="1" t="s">
        <v>4</v>
      </c>
      <c r="B157" s="1" t="s">
        <v>1</v>
      </c>
      <c r="C157" s="3">
        <v>14.4</v>
      </c>
      <c r="D157" s="2">
        <v>2.5</v>
      </c>
      <c r="E157" s="2">
        <f>TabelaFrecheirinha[[#This Row],[Qtde]]*TabelaFrecheirinha[[#This Row],[Vl. Unitário]]</f>
        <v>36</v>
      </c>
      <c r="F157" s="7" t="str">
        <f>VLOOKUP(TabelaFrecheirinha[[#This Row],[Código+Produto]],Base!A:C,3,0)</f>
        <v>cenoura mp</v>
      </c>
      <c r="G157" s="8" t="str">
        <f>VLOOKUP(A157,Base!A:D,4,0)</f>
        <v>HORTIFRUTI</v>
      </c>
    </row>
    <row r="158" spans="1:7" x14ac:dyDescent="0.25">
      <c r="A158" s="1" t="s">
        <v>4</v>
      </c>
      <c r="B158" s="1" t="s">
        <v>1</v>
      </c>
      <c r="C158" s="3">
        <v>7.6</v>
      </c>
      <c r="D158" s="2">
        <v>2.5</v>
      </c>
      <c r="E158" s="2">
        <f>TabelaFrecheirinha[[#This Row],[Qtde]]*TabelaFrecheirinha[[#This Row],[Vl. Unitário]]</f>
        <v>19</v>
      </c>
      <c r="F158" s="40" t="str">
        <f>VLOOKUP(TabelaFrecheirinha[[#This Row],[Código+Produto]],Base!A:C,3,0)</f>
        <v>cenoura mp</v>
      </c>
      <c r="G158" s="8" t="str">
        <f>VLOOKUP(A158,Base!A:D,4,0)</f>
        <v>HORTIFRUTI</v>
      </c>
    </row>
    <row r="159" spans="1:7" x14ac:dyDescent="0.25">
      <c r="A159" s="1" t="s">
        <v>4</v>
      </c>
      <c r="B159" s="1" t="s">
        <v>1</v>
      </c>
      <c r="C159" s="3">
        <v>20</v>
      </c>
      <c r="D159" s="2">
        <v>4</v>
      </c>
      <c r="E159" s="2">
        <f>TabelaFrecheirinha[[#This Row],[Qtde]]*TabelaFrecheirinha[[#This Row],[Vl. Unitário]]</f>
        <v>80</v>
      </c>
      <c r="F159" s="40" t="str">
        <f>VLOOKUP(TabelaFrecheirinha[[#This Row],[Código+Produto]],Base!A:C,3,0)</f>
        <v>cenoura mp</v>
      </c>
      <c r="G159" s="8" t="str">
        <f>VLOOKUP(A159,Base!A:D,4,0)</f>
        <v>HORTIFRUTI</v>
      </c>
    </row>
    <row r="160" spans="1:7" x14ac:dyDescent="0.25">
      <c r="A160" s="1" t="s">
        <v>5</v>
      </c>
      <c r="B160" s="1" t="s">
        <v>6</v>
      </c>
      <c r="C160" s="3">
        <v>12</v>
      </c>
      <c r="D160" s="2">
        <v>3.5</v>
      </c>
      <c r="E160" s="2">
        <f>TabelaFrecheirinha[[#This Row],[Qtde]]*TabelaFrecheirinha[[#This Row],[Vl. Unitário]]</f>
        <v>42</v>
      </c>
      <c r="F160" s="7" t="str">
        <f>VLOOKUP(TabelaFrecheirinha[[#This Row],[Código+Produto]],Base!A:C,3,0)</f>
        <v>leite mp</v>
      </c>
      <c r="G160" s="8" t="str">
        <f>VLOOKUP(A160,Base!A:D,4,0)</f>
        <v>LATICINIOS</v>
      </c>
    </row>
    <row r="161" spans="1:7" x14ac:dyDescent="0.25">
      <c r="A161" s="1" t="s">
        <v>5</v>
      </c>
      <c r="B161" s="1" t="s">
        <v>6</v>
      </c>
      <c r="C161" s="3">
        <v>17.5</v>
      </c>
      <c r="D161" s="2">
        <v>3.5</v>
      </c>
      <c r="E161" s="2">
        <f>TabelaFrecheirinha[[#This Row],[Qtde]]*TabelaFrecheirinha[[#This Row],[Vl. Unitário]]</f>
        <v>61.25</v>
      </c>
      <c r="F161" s="7" t="str">
        <f>VLOOKUP(TabelaFrecheirinha[[#This Row],[Código+Produto]],Base!A:C,3,0)</f>
        <v>leite mp</v>
      </c>
      <c r="G161" s="8" t="str">
        <f>VLOOKUP(A161,Base!A:D,4,0)</f>
        <v>LATICINIOS</v>
      </c>
    </row>
    <row r="162" spans="1:7" x14ac:dyDescent="0.25">
      <c r="A162" s="1" t="s">
        <v>5</v>
      </c>
      <c r="B162" s="1" t="s">
        <v>6</v>
      </c>
      <c r="C162" s="3">
        <v>18.5</v>
      </c>
      <c r="D162" s="2">
        <v>3.5</v>
      </c>
      <c r="E162" s="2">
        <f>TabelaFrecheirinha[[#This Row],[Qtde]]*TabelaFrecheirinha[[#This Row],[Vl. Unitário]]</f>
        <v>64.75</v>
      </c>
      <c r="F162" s="7" t="str">
        <f>VLOOKUP(TabelaFrecheirinha[[#This Row],[Código+Produto]],Base!A:C,3,0)</f>
        <v>leite mp</v>
      </c>
      <c r="G162" s="8" t="str">
        <f>VLOOKUP(A162,Base!A:D,4,0)</f>
        <v>LATICINIOS</v>
      </c>
    </row>
    <row r="163" spans="1:7" x14ac:dyDescent="0.25">
      <c r="A163" s="1" t="s">
        <v>5</v>
      </c>
      <c r="B163" s="1" t="s">
        <v>6</v>
      </c>
      <c r="C163" s="3">
        <v>12</v>
      </c>
      <c r="D163" s="2">
        <v>3.5</v>
      </c>
      <c r="E163" s="2">
        <f>TabelaFrecheirinha[[#This Row],[Qtde]]*TabelaFrecheirinha[[#This Row],[Vl. Unitário]]</f>
        <v>42</v>
      </c>
      <c r="F163" s="7" t="str">
        <f>VLOOKUP(TabelaFrecheirinha[[#This Row],[Código+Produto]],Base!A:C,3,0)</f>
        <v>leite mp</v>
      </c>
      <c r="G163" s="8" t="str">
        <f>VLOOKUP(A163,Base!A:D,4,0)</f>
        <v>LATICINIOS</v>
      </c>
    </row>
    <row r="164" spans="1:7" x14ac:dyDescent="0.25">
      <c r="A164" s="1" t="s">
        <v>5</v>
      </c>
      <c r="B164" s="1" t="s">
        <v>6</v>
      </c>
      <c r="C164" s="3">
        <v>10</v>
      </c>
      <c r="D164" s="2">
        <v>3.5</v>
      </c>
      <c r="E164" s="2">
        <f>TabelaFrecheirinha[[#This Row],[Qtde]]*TabelaFrecheirinha[[#This Row],[Vl. Unitário]]</f>
        <v>35</v>
      </c>
      <c r="F164" s="7" t="str">
        <f>VLOOKUP(TabelaFrecheirinha[[#This Row],[Código+Produto]],Base!A:C,3,0)</f>
        <v>leite mp</v>
      </c>
      <c r="G164" s="8" t="str">
        <f>VLOOKUP(A164,Base!A:D,4,0)</f>
        <v>LATICINIOS</v>
      </c>
    </row>
    <row r="165" spans="1:7" x14ac:dyDescent="0.25">
      <c r="A165" s="1" t="s">
        <v>5</v>
      </c>
      <c r="B165" s="1" t="s">
        <v>6</v>
      </c>
      <c r="C165" s="3">
        <v>10</v>
      </c>
      <c r="D165" s="2">
        <v>3.5</v>
      </c>
      <c r="E165" s="2">
        <f>TabelaFrecheirinha[[#This Row],[Qtde]]*TabelaFrecheirinha[[#This Row],[Vl. Unitário]]</f>
        <v>35</v>
      </c>
      <c r="F165" s="7" t="str">
        <f>VLOOKUP(TabelaFrecheirinha[[#This Row],[Código+Produto]],Base!A:C,3,0)</f>
        <v>leite mp</v>
      </c>
      <c r="G165" s="8" t="str">
        <f>VLOOKUP(A165,Base!A:D,4,0)</f>
        <v>LATICINIOS</v>
      </c>
    </row>
    <row r="166" spans="1:7" x14ac:dyDescent="0.25">
      <c r="A166" s="1" t="s">
        <v>5</v>
      </c>
      <c r="B166" s="1" t="s">
        <v>6</v>
      </c>
      <c r="C166" s="3">
        <v>14</v>
      </c>
      <c r="D166" s="2">
        <v>3.5</v>
      </c>
      <c r="E166" s="2">
        <f>TabelaFrecheirinha[[#This Row],[Qtde]]*TabelaFrecheirinha[[#This Row],[Vl. Unitário]]</f>
        <v>49</v>
      </c>
      <c r="F166" s="7" t="str">
        <f>VLOOKUP(TabelaFrecheirinha[[#This Row],[Código+Produto]],Base!A:C,3,0)</f>
        <v>leite mp</v>
      </c>
      <c r="G166" s="8" t="str">
        <f>VLOOKUP(A166,Base!A:D,4,0)</f>
        <v>LATICINIOS</v>
      </c>
    </row>
    <row r="167" spans="1:7" x14ac:dyDescent="0.25">
      <c r="A167" s="1" t="s">
        <v>5</v>
      </c>
      <c r="B167" s="1" t="s">
        <v>6</v>
      </c>
      <c r="C167" s="3">
        <v>9</v>
      </c>
      <c r="D167" s="2">
        <v>3.5</v>
      </c>
      <c r="E167" s="2">
        <f>TabelaFrecheirinha[[#This Row],[Qtde]]*TabelaFrecheirinha[[#This Row],[Vl. Unitário]]</f>
        <v>31.5</v>
      </c>
      <c r="F167" s="7" t="str">
        <f>VLOOKUP(TabelaFrecheirinha[[#This Row],[Código+Produto]],Base!A:C,3,0)</f>
        <v>leite mp</v>
      </c>
      <c r="G167" s="8" t="str">
        <f>VLOOKUP(A167,Base!A:D,4,0)</f>
        <v>LATICINIOS</v>
      </c>
    </row>
    <row r="168" spans="1:7" x14ac:dyDescent="0.25">
      <c r="A168" s="1" t="s">
        <v>5</v>
      </c>
      <c r="B168" s="1" t="s">
        <v>6</v>
      </c>
      <c r="C168" s="3">
        <v>20</v>
      </c>
      <c r="D168" s="2">
        <v>3.5</v>
      </c>
      <c r="E168" s="2">
        <f>TabelaFrecheirinha[[#This Row],[Qtde]]*TabelaFrecheirinha[[#This Row],[Vl. Unitário]]</f>
        <v>70</v>
      </c>
      <c r="F168" s="7" t="str">
        <f>VLOOKUP(TabelaFrecheirinha[[#This Row],[Código+Produto]],Base!A:C,3,0)</f>
        <v>leite mp</v>
      </c>
      <c r="G168" s="8" t="str">
        <f>VLOOKUP(A168,Base!A:D,4,0)</f>
        <v>LATICINIOS</v>
      </c>
    </row>
    <row r="169" spans="1:7" x14ac:dyDescent="0.25">
      <c r="A169" s="1" t="s">
        <v>5</v>
      </c>
      <c r="B169" s="1" t="s">
        <v>6</v>
      </c>
      <c r="C169" s="3">
        <v>7.5</v>
      </c>
      <c r="D169" s="2">
        <v>3.5</v>
      </c>
      <c r="E169" s="2">
        <f>TabelaFrecheirinha[[#This Row],[Qtde]]*TabelaFrecheirinha[[#This Row],[Vl. Unitário]]</f>
        <v>26.25</v>
      </c>
      <c r="F169" s="7" t="str">
        <f>VLOOKUP(TabelaFrecheirinha[[#This Row],[Código+Produto]],Base!A:C,3,0)</f>
        <v>leite mp</v>
      </c>
      <c r="G169" s="8" t="str">
        <f>VLOOKUP(A169,Base!A:D,4,0)</f>
        <v>LATICINIOS</v>
      </c>
    </row>
    <row r="170" spans="1:7" x14ac:dyDescent="0.25">
      <c r="A170" s="1" t="s">
        <v>5</v>
      </c>
      <c r="B170" s="1" t="s">
        <v>6</v>
      </c>
      <c r="C170" s="3">
        <v>4</v>
      </c>
      <c r="D170" s="2">
        <v>3.5</v>
      </c>
      <c r="E170" s="2">
        <f>TabelaFrecheirinha[[#This Row],[Qtde]]*TabelaFrecheirinha[[#This Row],[Vl. Unitário]]</f>
        <v>14</v>
      </c>
      <c r="F170" s="7" t="str">
        <f>VLOOKUP(TabelaFrecheirinha[[#This Row],[Código+Produto]],Base!A:C,3,0)</f>
        <v>leite mp</v>
      </c>
      <c r="G170" s="8" t="str">
        <f>VLOOKUP(A170,Base!A:D,4,0)</f>
        <v>LATICINIOS</v>
      </c>
    </row>
    <row r="171" spans="1:7" x14ac:dyDescent="0.25">
      <c r="A171" s="1" t="s">
        <v>5</v>
      </c>
      <c r="B171" s="1" t="s">
        <v>6</v>
      </c>
      <c r="C171" s="3">
        <v>8</v>
      </c>
      <c r="D171" s="2">
        <v>3.5</v>
      </c>
      <c r="E171" s="2">
        <f>TabelaFrecheirinha[[#This Row],[Qtde]]*TabelaFrecheirinha[[#This Row],[Vl. Unitário]]</f>
        <v>28</v>
      </c>
      <c r="F171" s="7" t="str">
        <f>VLOOKUP(TabelaFrecheirinha[[#This Row],[Código+Produto]],Base!A:C,3,0)</f>
        <v>leite mp</v>
      </c>
      <c r="G171" s="8" t="str">
        <f>VLOOKUP(A171,Base!A:D,4,0)</f>
        <v>LATICINIOS</v>
      </c>
    </row>
    <row r="172" spans="1:7" x14ac:dyDescent="0.25">
      <c r="A172" s="1" t="s">
        <v>5</v>
      </c>
      <c r="B172" s="1" t="s">
        <v>6</v>
      </c>
      <c r="C172" s="3">
        <v>15.5</v>
      </c>
      <c r="D172" s="2">
        <v>3.5</v>
      </c>
      <c r="E172" s="2">
        <f>TabelaFrecheirinha[[#This Row],[Qtde]]*TabelaFrecheirinha[[#This Row],[Vl. Unitário]]</f>
        <v>54.25</v>
      </c>
      <c r="F172" s="7" t="str">
        <f>VLOOKUP(TabelaFrecheirinha[[#This Row],[Código+Produto]],Base!A:C,3,0)</f>
        <v>leite mp</v>
      </c>
      <c r="G172" s="8" t="str">
        <f>VLOOKUP(A172,Base!A:D,4,0)</f>
        <v>LATICINIOS</v>
      </c>
    </row>
    <row r="173" spans="1:7" x14ac:dyDescent="0.25">
      <c r="A173" s="1" t="s">
        <v>5</v>
      </c>
      <c r="B173" s="1" t="s">
        <v>6</v>
      </c>
      <c r="C173" s="3">
        <v>8</v>
      </c>
      <c r="D173" s="2">
        <v>3.5</v>
      </c>
      <c r="E173" s="2">
        <f>TabelaFrecheirinha[[#This Row],[Qtde]]*TabelaFrecheirinha[[#This Row],[Vl. Unitário]]</f>
        <v>28</v>
      </c>
      <c r="F173" s="7" t="str">
        <f>VLOOKUP(TabelaFrecheirinha[[#This Row],[Código+Produto]],Base!A:C,3,0)</f>
        <v>leite mp</v>
      </c>
      <c r="G173" s="8" t="str">
        <f>VLOOKUP(A173,Base!A:D,4,0)</f>
        <v>LATICINIOS</v>
      </c>
    </row>
    <row r="174" spans="1:7" x14ac:dyDescent="0.25">
      <c r="A174" s="1" t="s">
        <v>5</v>
      </c>
      <c r="B174" s="1" t="s">
        <v>6</v>
      </c>
      <c r="C174" s="3">
        <v>16</v>
      </c>
      <c r="D174" s="2">
        <v>3.5</v>
      </c>
      <c r="E174" s="2">
        <f>TabelaFrecheirinha[[#This Row],[Qtde]]*TabelaFrecheirinha[[#This Row],[Vl. Unitário]]</f>
        <v>56</v>
      </c>
      <c r="F174" s="7" t="str">
        <f>VLOOKUP(TabelaFrecheirinha[[#This Row],[Código+Produto]],Base!A:C,3,0)</f>
        <v>leite mp</v>
      </c>
      <c r="G174" s="8" t="str">
        <f>VLOOKUP(A174,Base!A:D,4,0)</f>
        <v>LATICINIOS</v>
      </c>
    </row>
    <row r="175" spans="1:7" x14ac:dyDescent="0.25">
      <c r="A175" s="1" t="s">
        <v>5</v>
      </c>
      <c r="B175" s="1" t="s">
        <v>6</v>
      </c>
      <c r="C175" s="3">
        <v>11</v>
      </c>
      <c r="D175" s="2">
        <v>3.5</v>
      </c>
      <c r="E175" s="2">
        <f>TabelaFrecheirinha[[#This Row],[Qtde]]*TabelaFrecheirinha[[#This Row],[Vl. Unitário]]</f>
        <v>38.5</v>
      </c>
      <c r="F175" s="7" t="str">
        <f>VLOOKUP(TabelaFrecheirinha[[#This Row],[Código+Produto]],Base!A:C,3,0)</f>
        <v>leite mp</v>
      </c>
      <c r="G175" s="8" t="str">
        <f>VLOOKUP(A175,Base!A:D,4,0)</f>
        <v>LATICINIOS</v>
      </c>
    </row>
    <row r="176" spans="1:7" x14ac:dyDescent="0.25">
      <c r="A176" s="1" t="s">
        <v>5</v>
      </c>
      <c r="B176" s="1" t="s">
        <v>6</v>
      </c>
      <c r="C176" s="3">
        <v>10</v>
      </c>
      <c r="D176" s="2">
        <v>3.5</v>
      </c>
      <c r="E176" s="2">
        <f>TabelaFrecheirinha[[#This Row],[Qtde]]*TabelaFrecheirinha[[#This Row],[Vl. Unitário]]</f>
        <v>35</v>
      </c>
      <c r="F176" s="7" t="str">
        <f>VLOOKUP(TabelaFrecheirinha[[#This Row],[Código+Produto]],Base!A:C,3,0)</f>
        <v>leite mp</v>
      </c>
      <c r="G176" s="8" t="str">
        <f>VLOOKUP(A176,Base!A:D,4,0)</f>
        <v>LATICINIOS</v>
      </c>
    </row>
    <row r="177" spans="1:7" x14ac:dyDescent="0.25">
      <c r="A177" s="1" t="s">
        <v>5</v>
      </c>
      <c r="B177" s="1" t="s">
        <v>6</v>
      </c>
      <c r="C177" s="3">
        <v>13.5</v>
      </c>
      <c r="D177" s="2">
        <v>3.5</v>
      </c>
      <c r="E177" s="2">
        <f>TabelaFrecheirinha[[#This Row],[Qtde]]*TabelaFrecheirinha[[#This Row],[Vl. Unitário]]</f>
        <v>47.25</v>
      </c>
      <c r="F177" s="7" t="str">
        <f>VLOOKUP(TabelaFrecheirinha[[#This Row],[Código+Produto]],Base!A:C,3,0)</f>
        <v>leite mp</v>
      </c>
      <c r="G177" s="8" t="str">
        <f>VLOOKUP(A177,Base!A:D,4,0)</f>
        <v>LATICINIOS</v>
      </c>
    </row>
    <row r="178" spans="1:7" x14ac:dyDescent="0.25">
      <c r="A178" s="1" t="s">
        <v>5</v>
      </c>
      <c r="B178" s="1" t="s">
        <v>6</v>
      </c>
      <c r="C178" s="3">
        <v>20</v>
      </c>
      <c r="D178" s="2">
        <v>3.5</v>
      </c>
      <c r="E178" s="2">
        <f>TabelaFrecheirinha[[#This Row],[Qtde]]*TabelaFrecheirinha[[#This Row],[Vl. Unitário]]</f>
        <v>70</v>
      </c>
      <c r="F178" s="7" t="str">
        <f>VLOOKUP(TabelaFrecheirinha[[#This Row],[Código+Produto]],Base!A:C,3,0)</f>
        <v>leite mp</v>
      </c>
      <c r="G178" s="8" t="str">
        <f>VLOOKUP(A178,Base!A:D,4,0)</f>
        <v>LATICINIOS</v>
      </c>
    </row>
    <row r="179" spans="1:7" x14ac:dyDescent="0.25">
      <c r="A179" s="1" t="s">
        <v>5</v>
      </c>
      <c r="B179" s="1" t="s">
        <v>6</v>
      </c>
      <c r="C179" s="3">
        <v>12.5</v>
      </c>
      <c r="D179" s="2">
        <v>3.5</v>
      </c>
      <c r="E179" s="2">
        <f>TabelaFrecheirinha[[#This Row],[Qtde]]*TabelaFrecheirinha[[#This Row],[Vl. Unitário]]</f>
        <v>43.75</v>
      </c>
      <c r="F179" s="40" t="str">
        <f>VLOOKUP(TabelaFrecheirinha[[#This Row],[Código+Produto]],Base!A:C,3,0)</f>
        <v>leite mp</v>
      </c>
      <c r="G179" s="8" t="str">
        <f>VLOOKUP(A179,Base!A:D,4,0)</f>
        <v>LATICINIOS</v>
      </c>
    </row>
    <row r="180" spans="1:7" x14ac:dyDescent="0.25">
      <c r="A180" s="1" t="s">
        <v>5</v>
      </c>
      <c r="B180" s="1" t="s">
        <v>6</v>
      </c>
      <c r="C180" s="3">
        <v>21</v>
      </c>
      <c r="D180" s="2">
        <v>3.5</v>
      </c>
      <c r="E180" s="2">
        <f>TabelaFrecheirinha[[#This Row],[Qtde]]*TabelaFrecheirinha[[#This Row],[Vl. Unitário]]</f>
        <v>73.5</v>
      </c>
      <c r="F180" s="40" t="str">
        <f>VLOOKUP(TabelaFrecheirinha[[#This Row],[Código+Produto]],Base!A:C,3,0)</f>
        <v>leite mp</v>
      </c>
      <c r="G180" s="8" t="str">
        <f>VLOOKUP(A180,Base!A:D,4,0)</f>
        <v>LATICINIOS</v>
      </c>
    </row>
    <row r="181" spans="1:7" x14ac:dyDescent="0.25">
      <c r="A181" s="1" t="s">
        <v>5</v>
      </c>
      <c r="B181" s="1" t="s">
        <v>6</v>
      </c>
      <c r="C181" s="3">
        <v>7</v>
      </c>
      <c r="D181" s="2">
        <v>3.5</v>
      </c>
      <c r="E181" s="2">
        <f>TabelaFrecheirinha[[#This Row],[Qtde]]*TabelaFrecheirinha[[#This Row],[Vl. Unitário]]</f>
        <v>24.5</v>
      </c>
      <c r="F181" s="40" t="str">
        <f>VLOOKUP(TabelaFrecheirinha[[#This Row],[Código+Produto]],Base!A:C,3,0)</f>
        <v>leite mp</v>
      </c>
      <c r="G181" s="8" t="str">
        <f>VLOOKUP(A181,Base!A:D,4,0)</f>
        <v>LATICINIOS</v>
      </c>
    </row>
    <row r="182" spans="1:7" x14ac:dyDescent="0.25">
      <c r="A182" s="1" t="s">
        <v>5</v>
      </c>
      <c r="B182" s="1" t="s">
        <v>6</v>
      </c>
      <c r="C182" s="3">
        <v>11.5</v>
      </c>
      <c r="D182" s="2">
        <v>3.5</v>
      </c>
      <c r="E182" s="2">
        <f>TabelaFrecheirinha[[#This Row],[Qtde]]*TabelaFrecheirinha[[#This Row],[Vl. Unitário]]</f>
        <v>40.25</v>
      </c>
      <c r="F182" s="40" t="str">
        <f>VLOOKUP(TabelaFrecheirinha[[#This Row],[Código+Produto]],Base!A:C,3,0)</f>
        <v>leite mp</v>
      </c>
      <c r="G182" s="8" t="str">
        <f>VLOOKUP(A182,Base!A:D,4,0)</f>
        <v>LATICINIOS</v>
      </c>
    </row>
    <row r="183" spans="1:7" x14ac:dyDescent="0.25">
      <c r="A183" s="1" t="s">
        <v>5</v>
      </c>
      <c r="B183" s="1" t="s">
        <v>6</v>
      </c>
      <c r="C183" s="3">
        <v>26</v>
      </c>
      <c r="D183" s="2">
        <v>3.5</v>
      </c>
      <c r="E183" s="2">
        <f>TabelaFrecheirinha[[#This Row],[Qtde]]*TabelaFrecheirinha[[#This Row],[Vl. Unitário]]</f>
        <v>91</v>
      </c>
      <c r="F183" s="40" t="str">
        <f>VLOOKUP(TabelaFrecheirinha[[#This Row],[Código+Produto]],Base!A:C,3,0)</f>
        <v>leite mp</v>
      </c>
      <c r="G183" s="8" t="str">
        <f>VLOOKUP(A183,Base!A:D,4,0)</f>
        <v>LATICINIOS</v>
      </c>
    </row>
    <row r="184" spans="1:7" x14ac:dyDescent="0.25">
      <c r="A184" s="1" t="s">
        <v>5</v>
      </c>
      <c r="B184" s="1" t="s">
        <v>6</v>
      </c>
      <c r="C184" s="3">
        <v>10.5</v>
      </c>
      <c r="D184" s="2">
        <v>3.5</v>
      </c>
      <c r="E184" s="2">
        <f>TabelaFrecheirinha[[#This Row],[Qtde]]*TabelaFrecheirinha[[#This Row],[Vl. Unitário]]</f>
        <v>36.75</v>
      </c>
      <c r="F184" s="40" t="str">
        <f>VLOOKUP(TabelaFrecheirinha[[#This Row],[Código+Produto]],Base!A:C,3,0)</f>
        <v>leite mp</v>
      </c>
      <c r="G184" s="8" t="str">
        <f>VLOOKUP(A184,Base!A:D,4,0)</f>
        <v>LATICINIOS</v>
      </c>
    </row>
    <row r="185" spans="1:7" x14ac:dyDescent="0.25">
      <c r="A185" s="1" t="s">
        <v>1205</v>
      </c>
      <c r="B185" s="1" t="s">
        <v>1</v>
      </c>
      <c r="C185" s="3">
        <v>1</v>
      </c>
      <c r="D185" s="2">
        <v>8.3699999999999992</v>
      </c>
      <c r="E185" s="2">
        <f>TabelaFrecheirinha[[#This Row],[Qtde]]*TabelaFrecheirinha[[#This Row],[Vl. Unitário]]</f>
        <v>8.3699999999999992</v>
      </c>
      <c r="F185" s="7" t="str">
        <f>VLOOKUP(TabelaFrecheirinha[[#This Row],[Código+Produto]],Base!A:C,3,0)</f>
        <v>margarina mp</v>
      </c>
      <c r="G185" s="8" t="str">
        <f>VLOOKUP(A185,Base!A:D,4,0)</f>
        <v>LATICINIOS</v>
      </c>
    </row>
    <row r="186" spans="1:7" x14ac:dyDescent="0.25">
      <c r="A186" s="1" t="s">
        <v>1205</v>
      </c>
      <c r="B186" s="1" t="s">
        <v>1</v>
      </c>
      <c r="C186" s="3">
        <v>14</v>
      </c>
      <c r="D186" s="2">
        <v>8.3699999999999992</v>
      </c>
      <c r="E186" s="2">
        <f>TabelaFrecheirinha[[#This Row],[Qtde]]*TabelaFrecheirinha[[#This Row],[Vl. Unitário]]</f>
        <v>117.17999999999999</v>
      </c>
      <c r="F186" s="7" t="str">
        <f>VLOOKUP(TabelaFrecheirinha[[#This Row],[Código+Produto]],Base!A:C,3,0)</f>
        <v>margarina mp</v>
      </c>
      <c r="G186" s="8" t="str">
        <f>VLOOKUP(A186,Base!A:D,4,0)</f>
        <v>LATICINIOS</v>
      </c>
    </row>
    <row r="187" spans="1:7" x14ac:dyDescent="0.25">
      <c r="A187" s="1" t="s">
        <v>1205</v>
      </c>
      <c r="B187" s="1" t="s">
        <v>1</v>
      </c>
      <c r="C187" s="3">
        <v>14</v>
      </c>
      <c r="D187" s="2">
        <v>8.31</v>
      </c>
      <c r="E187" s="2">
        <f>TabelaFrecheirinha[[#This Row],[Qtde]]*TabelaFrecheirinha[[#This Row],[Vl. Unitário]]</f>
        <v>116.34</v>
      </c>
      <c r="F187" s="7" t="str">
        <f>VLOOKUP(TabelaFrecheirinha[[#This Row],[Código+Produto]],Base!A:C,3,0)</f>
        <v>margarina mp</v>
      </c>
      <c r="G187" s="8" t="str">
        <f>VLOOKUP(A187,Base!A:D,4,0)</f>
        <v>LATICINIOS</v>
      </c>
    </row>
    <row r="188" spans="1:7" x14ac:dyDescent="0.25">
      <c r="A188" s="1" t="s">
        <v>7</v>
      </c>
      <c r="B188" s="1" t="s">
        <v>1</v>
      </c>
      <c r="C188" s="3">
        <v>2.2999999999999998</v>
      </c>
      <c r="D188" s="2">
        <v>27.670200000000001</v>
      </c>
      <c r="E188" s="2">
        <f>TabelaFrecheirinha[[#This Row],[Qtde]]*TabelaFrecheirinha[[#This Row],[Vl. Unitário]]</f>
        <v>63.641459999999995</v>
      </c>
      <c r="F188" s="7" t="str">
        <f>VLOOKUP(TabelaFrecheirinha[[#This Row],[Código+Produto]],Base!A:C,3,0)</f>
        <v>queijo coalho mp</v>
      </c>
      <c r="G188" s="8" t="str">
        <f>VLOOKUP(A188,Base!A:D,4,0)</f>
        <v>LATICINIOS</v>
      </c>
    </row>
    <row r="189" spans="1:7" x14ac:dyDescent="0.25">
      <c r="A189" s="1" t="s">
        <v>7</v>
      </c>
      <c r="B189" s="1" t="s">
        <v>1</v>
      </c>
      <c r="C189" s="3">
        <v>3.85</v>
      </c>
      <c r="D189" s="2">
        <v>27.670200000000001</v>
      </c>
      <c r="E189" s="2">
        <f>TabelaFrecheirinha[[#This Row],[Qtde]]*TabelaFrecheirinha[[#This Row],[Vl. Unitário]]</f>
        <v>106.53027</v>
      </c>
      <c r="F189" s="7" t="str">
        <f>VLOOKUP(TabelaFrecheirinha[[#This Row],[Código+Produto]],Base!A:C,3,0)</f>
        <v>queijo coalho mp</v>
      </c>
      <c r="G189" s="8" t="str">
        <f>VLOOKUP(A189,Base!A:D,4,0)</f>
        <v>LATICINIOS</v>
      </c>
    </row>
    <row r="190" spans="1:7" x14ac:dyDescent="0.25">
      <c r="A190" s="1" t="s">
        <v>7</v>
      </c>
      <c r="B190" s="1" t="s">
        <v>1</v>
      </c>
      <c r="C190" s="3">
        <v>4.2</v>
      </c>
      <c r="D190" s="2">
        <v>21.029199999999999</v>
      </c>
      <c r="E190" s="2">
        <f>TabelaFrecheirinha[[#This Row],[Qtde]]*TabelaFrecheirinha[[#This Row],[Vl. Unitário]]</f>
        <v>88.322640000000007</v>
      </c>
      <c r="F190" s="7" t="str">
        <f>VLOOKUP(TabelaFrecheirinha[[#This Row],[Código+Produto]],Base!A:C,3,0)</f>
        <v>queijo coalho mp</v>
      </c>
      <c r="G190" s="8" t="str">
        <f>VLOOKUP(A190,Base!A:D,4,0)</f>
        <v>LATICINIOS</v>
      </c>
    </row>
    <row r="191" spans="1:7" x14ac:dyDescent="0.25">
      <c r="A191" s="1" t="s">
        <v>7</v>
      </c>
      <c r="B191" s="1" t="s">
        <v>1</v>
      </c>
      <c r="C191" s="3">
        <v>4.1500000000000004</v>
      </c>
      <c r="D191" s="2">
        <v>21.029199999999999</v>
      </c>
      <c r="E191" s="2">
        <f>TabelaFrecheirinha[[#This Row],[Qtde]]*TabelaFrecheirinha[[#This Row],[Vl. Unitário]]</f>
        <v>87.271180000000001</v>
      </c>
      <c r="F191" s="7" t="str">
        <f>VLOOKUP(TabelaFrecheirinha[[#This Row],[Código+Produto]],Base!A:C,3,0)</f>
        <v>queijo coalho mp</v>
      </c>
      <c r="G191" s="8" t="str">
        <f>VLOOKUP(A191,Base!A:D,4,0)</f>
        <v>LATICINIOS</v>
      </c>
    </row>
    <row r="192" spans="1:7" x14ac:dyDescent="0.25">
      <c r="A192" s="1" t="s">
        <v>7</v>
      </c>
      <c r="B192" s="1" t="s">
        <v>1</v>
      </c>
      <c r="C192" s="3">
        <v>2.15</v>
      </c>
      <c r="D192" s="2">
        <v>21.029199999999999</v>
      </c>
      <c r="E192" s="2">
        <f>TabelaFrecheirinha[[#This Row],[Qtde]]*TabelaFrecheirinha[[#This Row],[Vl. Unitário]]</f>
        <v>45.212779999999995</v>
      </c>
      <c r="F192" s="7" t="str">
        <f>VLOOKUP(TabelaFrecheirinha[[#This Row],[Código+Produto]],Base!A:C,3,0)</f>
        <v>queijo coalho mp</v>
      </c>
      <c r="G192" s="8" t="str">
        <f>VLOOKUP(A192,Base!A:D,4,0)</f>
        <v>LATICINIOS</v>
      </c>
    </row>
    <row r="193" spans="1:7" x14ac:dyDescent="0.25">
      <c r="A193" s="1" t="s">
        <v>7</v>
      </c>
      <c r="B193" s="1" t="s">
        <v>1</v>
      </c>
      <c r="C193" s="3">
        <v>4.75</v>
      </c>
      <c r="D193" s="2">
        <v>21.029199999999999</v>
      </c>
      <c r="E193" s="2">
        <f>TabelaFrecheirinha[[#This Row],[Qtde]]*TabelaFrecheirinha[[#This Row],[Vl. Unitário]]</f>
        <v>99.8887</v>
      </c>
      <c r="F193" s="7" t="str">
        <f>VLOOKUP(TabelaFrecheirinha[[#This Row],[Código+Produto]],Base!A:C,3,0)</f>
        <v>queijo coalho mp</v>
      </c>
      <c r="G193" s="8" t="str">
        <f>VLOOKUP(A193,Base!A:D,4,0)</f>
        <v>LATICINIOS</v>
      </c>
    </row>
    <row r="194" spans="1:7" x14ac:dyDescent="0.25">
      <c r="A194" s="1" t="s">
        <v>7</v>
      </c>
      <c r="B194" s="1" t="s">
        <v>1</v>
      </c>
      <c r="C194" s="3">
        <v>2.75</v>
      </c>
      <c r="D194" s="2">
        <v>21.029199999999999</v>
      </c>
      <c r="E194" s="2">
        <f>TabelaFrecheirinha[[#This Row],[Qtde]]*TabelaFrecheirinha[[#This Row],[Vl. Unitário]]</f>
        <v>57.830300000000001</v>
      </c>
      <c r="F194" s="7" t="str">
        <f>VLOOKUP(TabelaFrecheirinha[[#This Row],[Código+Produto]],Base!A:C,3,0)</f>
        <v>queijo coalho mp</v>
      </c>
      <c r="G194" s="8" t="str">
        <f>VLOOKUP(A194,Base!A:D,4,0)</f>
        <v>LATICINIOS</v>
      </c>
    </row>
    <row r="195" spans="1:7" x14ac:dyDescent="0.25">
      <c r="A195" s="1" t="s">
        <v>7</v>
      </c>
      <c r="B195" s="1" t="s">
        <v>1</v>
      </c>
      <c r="C195" s="3">
        <v>4.2</v>
      </c>
      <c r="D195" s="2">
        <v>21.029199999999999</v>
      </c>
      <c r="E195" s="2">
        <f>TabelaFrecheirinha[[#This Row],[Qtde]]*TabelaFrecheirinha[[#This Row],[Vl. Unitário]]</f>
        <v>88.322640000000007</v>
      </c>
      <c r="F195" s="7" t="str">
        <f>VLOOKUP(TabelaFrecheirinha[[#This Row],[Código+Produto]],Base!A:C,3,0)</f>
        <v>queijo coalho mp</v>
      </c>
      <c r="G195" s="8" t="str">
        <f>VLOOKUP(A195,Base!A:D,4,0)</f>
        <v>LATICINIOS</v>
      </c>
    </row>
    <row r="196" spans="1:7" x14ac:dyDescent="0.25">
      <c r="A196" s="1" t="s">
        <v>7</v>
      </c>
      <c r="B196" s="1" t="s">
        <v>1</v>
      </c>
      <c r="C196" s="3">
        <v>3.3</v>
      </c>
      <c r="D196" s="2">
        <v>21.029199999999999</v>
      </c>
      <c r="E196" s="2">
        <f>TabelaFrecheirinha[[#This Row],[Qtde]]*TabelaFrecheirinha[[#This Row],[Vl. Unitário]]</f>
        <v>69.396360000000001</v>
      </c>
      <c r="F196" s="40" t="str">
        <f>VLOOKUP(TabelaFrecheirinha[[#This Row],[Código+Produto]],Base!A:C,3,0)</f>
        <v>queijo coalho mp</v>
      </c>
      <c r="G196" s="8" t="str">
        <f>VLOOKUP(A196,Base!A:D,4,0)</f>
        <v>LATICINIOS</v>
      </c>
    </row>
    <row r="197" spans="1:7" x14ac:dyDescent="0.25">
      <c r="A197" s="1" t="s">
        <v>7</v>
      </c>
      <c r="B197" s="1" t="s">
        <v>1</v>
      </c>
      <c r="C197" s="3">
        <v>3.15</v>
      </c>
      <c r="D197" s="2">
        <v>21.029199999999999</v>
      </c>
      <c r="E197" s="2">
        <f>TabelaFrecheirinha[[#This Row],[Qtde]]*TabelaFrecheirinha[[#This Row],[Vl. Unitário]]</f>
        <v>66.241979999999998</v>
      </c>
      <c r="F197" s="40" t="str">
        <f>VLOOKUP(TabelaFrecheirinha[[#This Row],[Código+Produto]],Base!A:C,3,0)</f>
        <v>queijo coalho mp</v>
      </c>
      <c r="G197" s="8" t="str">
        <f>VLOOKUP(A197,Base!A:D,4,0)</f>
        <v>LATICINIOS</v>
      </c>
    </row>
    <row r="198" spans="1:7" x14ac:dyDescent="0.25">
      <c r="A198" s="1" t="s">
        <v>7</v>
      </c>
      <c r="B198" s="1" t="s">
        <v>1</v>
      </c>
      <c r="C198" s="3">
        <v>3.2</v>
      </c>
      <c r="D198" s="2">
        <v>21.029199999999999</v>
      </c>
      <c r="E198" s="2">
        <f>TabelaFrecheirinha[[#This Row],[Qtde]]*TabelaFrecheirinha[[#This Row],[Vl. Unitário]]</f>
        <v>67.293440000000004</v>
      </c>
      <c r="F198" s="40" t="str">
        <f>VLOOKUP(TabelaFrecheirinha[[#This Row],[Código+Produto]],Base!A:C,3,0)</f>
        <v>queijo coalho mp</v>
      </c>
      <c r="G198" s="8" t="str">
        <f>VLOOKUP(A198,Base!A:D,4,0)</f>
        <v>LATICINIOS</v>
      </c>
    </row>
    <row r="199" spans="1:7" x14ac:dyDescent="0.25">
      <c r="A199" s="1" t="s">
        <v>15</v>
      </c>
      <c r="B199" s="1" t="s">
        <v>1</v>
      </c>
      <c r="C199" s="3">
        <v>1.35</v>
      </c>
      <c r="D199" s="2">
        <v>31.5</v>
      </c>
      <c r="E199" s="2">
        <f>TabelaFrecheirinha[[#This Row],[Qtde]]*TabelaFrecheirinha[[#This Row],[Vl. Unitário]]</f>
        <v>42.525000000000006</v>
      </c>
      <c r="F199" s="7" t="str">
        <f>VLOOKUP(TabelaFrecheirinha[[#This Row],[Código+Produto]],Base!A:C,3,0)</f>
        <v>queijo mussarela mp</v>
      </c>
      <c r="G199" s="8" t="str">
        <f>VLOOKUP(A199,Base!A:D,4,0)</f>
        <v>LATICINIOS</v>
      </c>
    </row>
    <row r="200" spans="1:7" x14ac:dyDescent="0.25">
      <c r="A200" s="1" t="s">
        <v>15</v>
      </c>
      <c r="B200" s="1" t="s">
        <v>1</v>
      </c>
      <c r="C200" s="3">
        <v>4</v>
      </c>
      <c r="D200" s="2">
        <v>31.5</v>
      </c>
      <c r="E200" s="2">
        <f>TabelaFrecheirinha[[#This Row],[Qtde]]*TabelaFrecheirinha[[#This Row],[Vl. Unitário]]</f>
        <v>126</v>
      </c>
      <c r="F200" s="7" t="str">
        <f>VLOOKUP(TabelaFrecheirinha[[#This Row],[Código+Produto]],Base!A:C,3,0)</f>
        <v>queijo mussarela mp</v>
      </c>
      <c r="G200" s="8" t="str">
        <f>VLOOKUP(A200,Base!A:D,4,0)</f>
        <v>LATICINIOS</v>
      </c>
    </row>
    <row r="201" spans="1:7" x14ac:dyDescent="0.25">
      <c r="A201" s="1" t="s">
        <v>15</v>
      </c>
      <c r="B201" s="1" t="s">
        <v>1</v>
      </c>
      <c r="C201" s="3">
        <v>3.5</v>
      </c>
      <c r="D201" s="2">
        <v>31.5</v>
      </c>
      <c r="E201" s="2">
        <f>TabelaFrecheirinha[[#This Row],[Qtde]]*TabelaFrecheirinha[[#This Row],[Vl. Unitário]]</f>
        <v>110.25</v>
      </c>
      <c r="F201" s="7" t="str">
        <f>VLOOKUP(TabelaFrecheirinha[[#This Row],[Código+Produto]],Base!A:C,3,0)</f>
        <v>queijo mussarela mp</v>
      </c>
      <c r="G201" s="8" t="str">
        <f>VLOOKUP(A201,Base!A:D,4,0)</f>
        <v>LATICINIOS</v>
      </c>
    </row>
    <row r="202" spans="1:7" x14ac:dyDescent="0.25">
      <c r="A202" s="1" t="s">
        <v>15</v>
      </c>
      <c r="B202" s="1" t="s">
        <v>1</v>
      </c>
      <c r="C202" s="3">
        <v>8</v>
      </c>
      <c r="D202" s="2">
        <v>31.5</v>
      </c>
      <c r="E202" s="2">
        <f>TabelaFrecheirinha[[#This Row],[Qtde]]*TabelaFrecheirinha[[#This Row],[Vl. Unitário]]</f>
        <v>252</v>
      </c>
      <c r="F202" s="7" t="str">
        <f>VLOOKUP(TabelaFrecheirinha[[#This Row],[Código+Produto]],Base!A:C,3,0)</f>
        <v>queijo mussarela mp</v>
      </c>
      <c r="G202" s="8" t="str">
        <f>VLOOKUP(A202,Base!A:D,4,0)</f>
        <v>LATICINIOS</v>
      </c>
    </row>
    <row r="203" spans="1:7" x14ac:dyDescent="0.25">
      <c r="A203" s="1" t="s">
        <v>15</v>
      </c>
      <c r="B203" s="1" t="s">
        <v>1</v>
      </c>
      <c r="C203" s="3">
        <v>4.1500000000000004</v>
      </c>
      <c r="D203" s="2">
        <v>30.990100000000002</v>
      </c>
      <c r="E203" s="2">
        <f>TabelaFrecheirinha[[#This Row],[Qtde]]*TabelaFrecheirinha[[#This Row],[Vl. Unitário]]</f>
        <v>128.60891500000002</v>
      </c>
      <c r="F203" s="7" t="str">
        <f>VLOOKUP(TabelaFrecheirinha[[#This Row],[Código+Produto]],Base!A:C,3,0)</f>
        <v>queijo mussarela mp</v>
      </c>
      <c r="G203" s="8" t="str">
        <f>VLOOKUP(A203,Base!A:D,4,0)</f>
        <v>LATICINIOS</v>
      </c>
    </row>
    <row r="204" spans="1:7" x14ac:dyDescent="0.25">
      <c r="A204" s="1" t="s">
        <v>15</v>
      </c>
      <c r="B204" s="1" t="s">
        <v>1</v>
      </c>
      <c r="C204" s="3">
        <v>3.9</v>
      </c>
      <c r="D204" s="2">
        <v>30.990100000000002</v>
      </c>
      <c r="E204" s="2">
        <f>TabelaFrecheirinha[[#This Row],[Qtde]]*TabelaFrecheirinha[[#This Row],[Vl. Unitário]]</f>
        <v>120.86139</v>
      </c>
      <c r="F204" s="7" t="str">
        <f>VLOOKUP(TabelaFrecheirinha[[#This Row],[Código+Produto]],Base!A:C,3,0)</f>
        <v>queijo mussarela mp</v>
      </c>
      <c r="G204" s="8" t="str">
        <f>VLOOKUP(A204,Base!A:D,4,0)</f>
        <v>LATICINIOS</v>
      </c>
    </row>
    <row r="205" spans="1:7" x14ac:dyDescent="0.25">
      <c r="A205" s="1" t="s">
        <v>15</v>
      </c>
      <c r="B205" s="1" t="s">
        <v>1</v>
      </c>
      <c r="C205" s="3">
        <v>4.2</v>
      </c>
      <c r="D205" s="2">
        <v>30.990100000000002</v>
      </c>
      <c r="E205" s="2">
        <f>TabelaFrecheirinha[[#This Row],[Qtde]]*TabelaFrecheirinha[[#This Row],[Vl. Unitário]]</f>
        <v>130.15842000000001</v>
      </c>
      <c r="F205" s="40" t="str">
        <f>VLOOKUP(TabelaFrecheirinha[[#This Row],[Código+Produto]],Base!A:C,3,0)</f>
        <v>queijo mussarela mp</v>
      </c>
      <c r="G205" s="8" t="str">
        <f>VLOOKUP(A205,Base!A:D,4,0)</f>
        <v>LATICINIOS</v>
      </c>
    </row>
    <row r="206" spans="1:7" x14ac:dyDescent="0.25">
      <c r="A206" s="1" t="s">
        <v>15</v>
      </c>
      <c r="B206" s="1" t="s">
        <v>1</v>
      </c>
      <c r="C206" s="3">
        <v>3</v>
      </c>
      <c r="D206" s="2">
        <v>30.990100000000002</v>
      </c>
      <c r="E206" s="2">
        <f>TabelaFrecheirinha[[#This Row],[Qtde]]*TabelaFrecheirinha[[#This Row],[Vl. Unitário]]</f>
        <v>92.970300000000009</v>
      </c>
      <c r="F206" s="40" t="str">
        <f>VLOOKUP(TabelaFrecheirinha[[#This Row],[Código+Produto]],Base!A:C,3,0)</f>
        <v>queijo mussarela mp</v>
      </c>
      <c r="G206" s="8" t="str">
        <f>VLOOKUP(A206,Base!A:D,4,0)</f>
        <v>LATICINIOS</v>
      </c>
    </row>
    <row r="207" spans="1:7" x14ac:dyDescent="0.25">
      <c r="A207" s="1" t="s">
        <v>37</v>
      </c>
      <c r="B207" s="1" t="s">
        <v>1</v>
      </c>
      <c r="C207" s="3">
        <v>4.9000000000000004</v>
      </c>
      <c r="D207" s="2">
        <v>33</v>
      </c>
      <c r="E207" s="2">
        <f>TabelaFrecheirinha[[#This Row],[Qtde]]*TabelaFrecheirinha[[#This Row],[Vl. Unitário]]</f>
        <v>161.70000000000002</v>
      </c>
      <c r="F207" s="7" t="str">
        <f>VLOOKUP(TabelaFrecheirinha[[#This Row],[Código+Produto]],Base!A:C,3,0)</f>
        <v>camarao mp</v>
      </c>
      <c r="G207" s="8" t="str">
        <f>VLOOKUP(A207,Base!A:D,4,0)</f>
        <v>PEIXES E FRUTOS DO MAR</v>
      </c>
    </row>
    <row r="208" spans="1:7" x14ac:dyDescent="0.25">
      <c r="A208" s="1" t="s">
        <v>37</v>
      </c>
      <c r="B208" s="1" t="s">
        <v>1</v>
      </c>
      <c r="C208" s="3">
        <v>4.3</v>
      </c>
      <c r="D208" s="2">
        <v>33</v>
      </c>
      <c r="E208" s="2">
        <f>TabelaFrecheirinha[[#This Row],[Qtde]]*TabelaFrecheirinha[[#This Row],[Vl. Unitário]]</f>
        <v>141.9</v>
      </c>
      <c r="F208" s="7" t="str">
        <f>VLOOKUP(TabelaFrecheirinha[[#This Row],[Código+Produto]],Base!A:C,3,0)</f>
        <v>camarao mp</v>
      </c>
      <c r="G208" s="8" t="str">
        <f>VLOOKUP(A208,Base!A:D,4,0)</f>
        <v>PEIXES E FRUTOS DO MAR</v>
      </c>
    </row>
    <row r="209" spans="1:7" x14ac:dyDescent="0.25">
      <c r="A209" s="1" t="s">
        <v>37</v>
      </c>
      <c r="B209" s="1" t="s">
        <v>1</v>
      </c>
      <c r="C209" s="3">
        <v>6.2</v>
      </c>
      <c r="D209" s="2">
        <v>33</v>
      </c>
      <c r="E209" s="2">
        <f>TabelaFrecheirinha[[#This Row],[Qtde]]*TabelaFrecheirinha[[#This Row],[Vl. Unitário]]</f>
        <v>204.6</v>
      </c>
      <c r="F209" s="7" t="str">
        <f>VLOOKUP(TabelaFrecheirinha[[#This Row],[Código+Produto]],Base!A:C,3,0)</f>
        <v>camarao mp</v>
      </c>
      <c r="G209" s="8" t="str">
        <f>VLOOKUP(A209,Base!A:D,4,0)</f>
        <v>PEIXES E FRUTOS DO MAR</v>
      </c>
    </row>
    <row r="210" spans="1:7" x14ac:dyDescent="0.25">
      <c r="A210" s="1" t="s">
        <v>37</v>
      </c>
      <c r="B210" s="1" t="s">
        <v>1</v>
      </c>
      <c r="C210" s="3">
        <v>4.5999999999999996</v>
      </c>
      <c r="D210" s="2">
        <v>33</v>
      </c>
      <c r="E210" s="2">
        <f>TabelaFrecheirinha[[#This Row],[Qtde]]*TabelaFrecheirinha[[#This Row],[Vl. Unitário]]</f>
        <v>151.79999999999998</v>
      </c>
      <c r="F210" s="40" t="str">
        <f>VLOOKUP(TabelaFrecheirinha[[#This Row],[Código+Produto]],Base!A:C,3,0)</f>
        <v>camarao mp</v>
      </c>
      <c r="G210" s="8" t="str">
        <f>VLOOKUP(A210,Base!A:D,4,0)</f>
        <v>PEIXES E FRUTOS DO MAR</v>
      </c>
    </row>
    <row r="211" spans="1:7" x14ac:dyDescent="0.25">
      <c r="A211" s="1" t="s">
        <v>37</v>
      </c>
      <c r="B211" s="1" t="s">
        <v>1</v>
      </c>
      <c r="C211" s="3">
        <v>5.9</v>
      </c>
      <c r="D211" s="2">
        <v>33</v>
      </c>
      <c r="E211" s="2">
        <f>TabelaFrecheirinha[[#This Row],[Qtde]]*TabelaFrecheirinha[[#This Row],[Vl. Unitário]]</f>
        <v>194.70000000000002</v>
      </c>
      <c r="F211" s="40" t="str">
        <f>VLOOKUP(TabelaFrecheirinha[[#This Row],[Código+Produto]],Base!A:C,3,0)</f>
        <v>camarao mp</v>
      </c>
      <c r="G211" s="8" t="str">
        <f>VLOOKUP(A211,Base!A:D,4,0)</f>
        <v>PEIXES E FRUTOS DO MAR</v>
      </c>
    </row>
    <row r="212" spans="1:7" x14ac:dyDescent="0.25">
      <c r="A212" s="1" t="s">
        <v>37</v>
      </c>
      <c r="B212" s="1" t="s">
        <v>1</v>
      </c>
      <c r="C212" s="3">
        <v>4.2</v>
      </c>
      <c r="D212" s="2">
        <v>33</v>
      </c>
      <c r="E212" s="2">
        <f>TabelaFrecheirinha[[#This Row],[Qtde]]*TabelaFrecheirinha[[#This Row],[Vl. Unitário]]</f>
        <v>138.6</v>
      </c>
      <c r="F212" s="40" t="str">
        <f>VLOOKUP(TabelaFrecheirinha[[#This Row],[Código+Produto]],Base!A:C,3,0)</f>
        <v>camarao mp</v>
      </c>
      <c r="G212" s="8" t="str">
        <f>VLOOKUP(A212,Base!A:D,4,0)</f>
        <v>PEIXES E FRUTOS DO MAR</v>
      </c>
    </row>
    <row r="213" spans="1:7" x14ac:dyDescent="0.25">
      <c r="A213" s="1" t="s">
        <v>49</v>
      </c>
      <c r="B213" s="1" t="s">
        <v>1</v>
      </c>
      <c r="C213" s="3">
        <v>30</v>
      </c>
      <c r="D213" s="2">
        <v>3.9</v>
      </c>
      <c r="E213" s="2">
        <f>TabelaFrecheirinha[[#This Row],[Qtde]]*TabelaFrecheirinha[[#This Row],[Vl. Unitário]]</f>
        <v>117</v>
      </c>
      <c r="F213" s="7" t="str">
        <f>VLOOKUP(TabelaFrecheirinha[[#This Row],[Código+Produto]],Base!A:C,3,0)</f>
        <v>arroz parboilizado mp</v>
      </c>
      <c r="G213" s="8" t="str">
        <f>VLOOKUP(A213,Base!A:D,4,0)</f>
        <v>SECOS E MERCEARIA</v>
      </c>
    </row>
    <row r="214" spans="1:7" x14ac:dyDescent="0.25">
      <c r="A214" s="1" t="s">
        <v>49</v>
      </c>
      <c r="B214" s="1" t="s">
        <v>1</v>
      </c>
      <c r="C214" s="3">
        <v>20</v>
      </c>
      <c r="D214" s="2">
        <v>3.9</v>
      </c>
      <c r="E214" s="2">
        <f>TabelaFrecheirinha[[#This Row],[Qtde]]*TabelaFrecheirinha[[#This Row],[Vl. Unitário]]</f>
        <v>78</v>
      </c>
      <c r="F214" s="7" t="str">
        <f>VLOOKUP(TabelaFrecheirinha[[#This Row],[Código+Produto]],Base!A:C,3,0)</f>
        <v>arroz parboilizado mp</v>
      </c>
      <c r="G214" s="8" t="str">
        <f>VLOOKUP(A214,Base!A:D,4,0)</f>
        <v>SECOS E MERCEARIA</v>
      </c>
    </row>
    <row r="215" spans="1:7" x14ac:dyDescent="0.25">
      <c r="A215" s="1" t="s">
        <v>49</v>
      </c>
      <c r="B215" s="1" t="s">
        <v>1</v>
      </c>
      <c r="C215" s="3">
        <v>20</v>
      </c>
      <c r="D215" s="2">
        <v>3.9</v>
      </c>
      <c r="E215" s="2">
        <f>TabelaFrecheirinha[[#This Row],[Qtde]]*TabelaFrecheirinha[[#This Row],[Vl. Unitário]]</f>
        <v>78</v>
      </c>
      <c r="F215" s="7" t="str">
        <f>VLOOKUP(TabelaFrecheirinha[[#This Row],[Código+Produto]],Base!A:C,3,0)</f>
        <v>arroz parboilizado mp</v>
      </c>
      <c r="G215" s="8" t="str">
        <f>VLOOKUP(A215,Base!A:D,4,0)</f>
        <v>SECOS E MERCEARIA</v>
      </c>
    </row>
    <row r="216" spans="1:7" x14ac:dyDescent="0.25">
      <c r="A216" s="1" t="s">
        <v>49</v>
      </c>
      <c r="B216" s="1" t="s">
        <v>1</v>
      </c>
      <c r="C216" s="3">
        <v>40</v>
      </c>
      <c r="D216" s="2">
        <v>3.75</v>
      </c>
      <c r="E216" s="2">
        <f>TabelaFrecheirinha[[#This Row],[Qtde]]*TabelaFrecheirinha[[#This Row],[Vl. Unitário]]</f>
        <v>150</v>
      </c>
      <c r="F216" s="40" t="str">
        <f>VLOOKUP(TabelaFrecheirinha[[#This Row],[Código+Produto]],Base!A:C,3,0)</f>
        <v>arroz parboilizado mp</v>
      </c>
      <c r="G216" s="8" t="str">
        <f>VLOOKUP(A216,Base!A:D,4,0)</f>
        <v>SECOS E MERCEARIA</v>
      </c>
    </row>
    <row r="217" spans="1:7" x14ac:dyDescent="0.25">
      <c r="A217" s="1" t="s">
        <v>23</v>
      </c>
      <c r="B217" s="1" t="s">
        <v>1</v>
      </c>
      <c r="C217" s="3">
        <v>6</v>
      </c>
      <c r="D217" s="2">
        <v>12.4071</v>
      </c>
      <c r="E217" s="2">
        <f>TabelaFrecheirinha[[#This Row],[Qtde]]*TabelaFrecheirinha[[#This Row],[Vl. Unitário]]</f>
        <v>74.442599999999999</v>
      </c>
      <c r="F217" s="7" t="str">
        <f>VLOOKUP(TabelaFrecheirinha[[#This Row],[Código+Produto]],Base!A:C,3,0)</f>
        <v>creme culinario mp</v>
      </c>
      <c r="G217" s="8" t="str">
        <f>VLOOKUP(A217,Base!A:D,4,0)</f>
        <v>SECOS E MERCEARIA</v>
      </c>
    </row>
    <row r="218" spans="1:7" x14ac:dyDescent="0.25">
      <c r="A218" s="1" t="s">
        <v>23</v>
      </c>
      <c r="B218" s="1" t="s">
        <v>1</v>
      </c>
      <c r="C218" s="3">
        <v>4</v>
      </c>
      <c r="D218" s="2">
        <v>12.4071</v>
      </c>
      <c r="E218" s="2">
        <f>TabelaFrecheirinha[[#This Row],[Qtde]]*TabelaFrecheirinha[[#This Row],[Vl. Unitário]]</f>
        <v>49.628399999999999</v>
      </c>
      <c r="F218" s="7" t="str">
        <f>VLOOKUP(TabelaFrecheirinha[[#This Row],[Código+Produto]],Base!A:C,3,0)</f>
        <v>creme culinario mp</v>
      </c>
      <c r="G218" s="8" t="str">
        <f>VLOOKUP(A218,Base!A:D,4,0)</f>
        <v>SECOS E MERCEARIA</v>
      </c>
    </row>
    <row r="219" spans="1:7" x14ac:dyDescent="0.25">
      <c r="A219" s="1" t="s">
        <v>23</v>
      </c>
      <c r="B219" s="1" t="s">
        <v>1</v>
      </c>
      <c r="C219" s="3">
        <v>2</v>
      </c>
      <c r="D219" s="2">
        <v>12.4071</v>
      </c>
      <c r="E219" s="2">
        <f>TabelaFrecheirinha[[#This Row],[Qtde]]*TabelaFrecheirinha[[#This Row],[Vl. Unitário]]</f>
        <v>24.8142</v>
      </c>
      <c r="F219" s="7" t="str">
        <f>VLOOKUP(TabelaFrecheirinha[[#This Row],[Código+Produto]],Base!A:C,3,0)</f>
        <v>creme culinario mp</v>
      </c>
      <c r="G219" s="8" t="str">
        <f>VLOOKUP(A219,Base!A:D,4,0)</f>
        <v>SECOS E MERCEARIA</v>
      </c>
    </row>
    <row r="220" spans="1:7" x14ac:dyDescent="0.25">
      <c r="A220" s="1" t="s">
        <v>23</v>
      </c>
      <c r="B220" s="1" t="s">
        <v>1</v>
      </c>
      <c r="C220" s="3">
        <v>2</v>
      </c>
      <c r="D220" s="2">
        <v>12.4071</v>
      </c>
      <c r="E220" s="2">
        <f>TabelaFrecheirinha[[#This Row],[Qtde]]*TabelaFrecheirinha[[#This Row],[Vl. Unitário]]</f>
        <v>24.8142</v>
      </c>
      <c r="F220" s="7" t="str">
        <f>VLOOKUP(TabelaFrecheirinha[[#This Row],[Código+Produto]],Base!A:C,3,0)</f>
        <v>creme culinario mp</v>
      </c>
      <c r="G220" s="8" t="str">
        <f>VLOOKUP(A220,Base!A:D,4,0)</f>
        <v>SECOS E MERCEARIA</v>
      </c>
    </row>
    <row r="221" spans="1:7" x14ac:dyDescent="0.25">
      <c r="A221" s="1" t="s">
        <v>23</v>
      </c>
      <c r="B221" s="1" t="s">
        <v>1</v>
      </c>
      <c r="C221" s="3">
        <v>2</v>
      </c>
      <c r="D221" s="2">
        <v>13.09</v>
      </c>
      <c r="E221" s="2">
        <f>TabelaFrecheirinha[[#This Row],[Qtde]]*TabelaFrecheirinha[[#This Row],[Vl. Unitário]]</f>
        <v>26.18</v>
      </c>
      <c r="F221" s="7" t="str">
        <f>VLOOKUP(TabelaFrecheirinha[[#This Row],[Código+Produto]],Base!A:C,3,0)</f>
        <v>creme culinario mp</v>
      </c>
      <c r="G221" s="8" t="str">
        <f>VLOOKUP(A221,Base!A:D,4,0)</f>
        <v>SECOS E MERCEARIA</v>
      </c>
    </row>
    <row r="222" spans="1:7" x14ac:dyDescent="0.25">
      <c r="A222" s="1" t="s">
        <v>23</v>
      </c>
      <c r="B222" s="1" t="s">
        <v>1</v>
      </c>
      <c r="C222" s="3">
        <v>3</v>
      </c>
      <c r="D222" s="2">
        <v>13.09</v>
      </c>
      <c r="E222" s="2">
        <f>TabelaFrecheirinha[[#This Row],[Qtde]]*TabelaFrecheirinha[[#This Row],[Vl. Unitário]]</f>
        <v>39.269999999999996</v>
      </c>
      <c r="F222" s="7" t="str">
        <f>VLOOKUP(TabelaFrecheirinha[[#This Row],[Código+Produto]],Base!A:C,3,0)</f>
        <v>creme culinario mp</v>
      </c>
      <c r="G222" s="8" t="str">
        <f>VLOOKUP(A222,Base!A:D,4,0)</f>
        <v>SECOS E MERCEARIA</v>
      </c>
    </row>
    <row r="223" spans="1:7" x14ac:dyDescent="0.25">
      <c r="A223" s="1" t="s">
        <v>23</v>
      </c>
      <c r="B223" s="1" t="s">
        <v>1</v>
      </c>
      <c r="C223" s="3">
        <v>4</v>
      </c>
      <c r="D223" s="2">
        <v>14.001099999999999</v>
      </c>
      <c r="E223" s="2">
        <f>TabelaFrecheirinha[[#This Row],[Qtde]]*TabelaFrecheirinha[[#This Row],[Vl. Unitário]]</f>
        <v>56.004399999999997</v>
      </c>
      <c r="F223" s="40" t="str">
        <f>VLOOKUP(TabelaFrecheirinha[[#This Row],[Código+Produto]],Base!A:C,3,0)</f>
        <v>creme culinario mp</v>
      </c>
      <c r="G223" s="8" t="str">
        <f>VLOOKUP(A223,Base!A:D,4,0)</f>
        <v>SECOS E MERCEARIA</v>
      </c>
    </row>
    <row r="224" spans="1:7" x14ac:dyDescent="0.25">
      <c r="A224" s="1" t="s">
        <v>38</v>
      </c>
      <c r="B224" s="1" t="s">
        <v>1</v>
      </c>
      <c r="C224" s="3">
        <v>9</v>
      </c>
      <c r="D224" s="2">
        <v>7</v>
      </c>
      <c r="E224" s="2">
        <f>TabelaFrecheirinha[[#This Row],[Qtde]]*TabelaFrecheirinha[[#This Row],[Vl. Unitário]]</f>
        <v>63</v>
      </c>
      <c r="F224" s="7" t="str">
        <f>VLOOKUP(TabelaFrecheirinha[[#This Row],[Código+Produto]],Base!A:C,3,0)</f>
        <v>farinha de rosca mp</v>
      </c>
      <c r="G224" s="8" t="str">
        <f>VLOOKUP(A224,Base!A:D,4,0)</f>
        <v>SECOS E MERCEARIA</v>
      </c>
    </row>
    <row r="225" spans="1:7" x14ac:dyDescent="0.25">
      <c r="A225" s="1" t="s">
        <v>38</v>
      </c>
      <c r="B225" s="1" t="s">
        <v>1</v>
      </c>
      <c r="C225" s="3">
        <v>4</v>
      </c>
      <c r="D225" s="2">
        <v>7</v>
      </c>
      <c r="E225" s="2">
        <f>TabelaFrecheirinha[[#This Row],[Qtde]]*TabelaFrecheirinha[[#This Row],[Vl. Unitário]]</f>
        <v>28</v>
      </c>
      <c r="F225" s="7" t="str">
        <f>VLOOKUP(TabelaFrecheirinha[[#This Row],[Código+Produto]],Base!A:C,3,0)</f>
        <v>farinha de rosca mp</v>
      </c>
      <c r="G225" s="8" t="str">
        <f>VLOOKUP(A225,Base!A:D,4,0)</f>
        <v>SECOS E MERCEARIA</v>
      </c>
    </row>
    <row r="226" spans="1:7" x14ac:dyDescent="0.25">
      <c r="A226" s="1" t="s">
        <v>38</v>
      </c>
      <c r="B226" s="1" t="s">
        <v>1</v>
      </c>
      <c r="C226" s="3">
        <v>9.25</v>
      </c>
      <c r="D226" s="2">
        <v>7</v>
      </c>
      <c r="E226" s="2">
        <f>TabelaFrecheirinha[[#This Row],[Qtde]]*TabelaFrecheirinha[[#This Row],[Vl. Unitário]]</f>
        <v>64.75</v>
      </c>
      <c r="F226" s="7" t="str">
        <f>VLOOKUP(TabelaFrecheirinha[[#This Row],[Código+Produto]],Base!A:C,3,0)</f>
        <v>farinha de rosca mp</v>
      </c>
      <c r="G226" s="8" t="str">
        <f>VLOOKUP(A226,Base!A:D,4,0)</f>
        <v>SECOS E MERCEARIA</v>
      </c>
    </row>
    <row r="227" spans="1:7" x14ac:dyDescent="0.25">
      <c r="A227" s="1" t="s">
        <v>38</v>
      </c>
      <c r="B227" s="1" t="s">
        <v>1</v>
      </c>
      <c r="C227" s="3">
        <v>4.5199999999999996</v>
      </c>
      <c r="D227" s="2">
        <v>7</v>
      </c>
      <c r="E227" s="2">
        <f>TabelaFrecheirinha[[#This Row],[Qtde]]*TabelaFrecheirinha[[#This Row],[Vl. Unitário]]</f>
        <v>31.639999999999997</v>
      </c>
      <c r="F227" s="7" t="str">
        <f>VLOOKUP(TabelaFrecheirinha[[#This Row],[Código+Produto]],Base!A:C,3,0)</f>
        <v>farinha de rosca mp</v>
      </c>
      <c r="G227" s="8" t="str">
        <f>VLOOKUP(A227,Base!A:D,4,0)</f>
        <v>SECOS E MERCEARIA</v>
      </c>
    </row>
    <row r="228" spans="1:7" x14ac:dyDescent="0.25">
      <c r="A228" s="1" t="s">
        <v>38</v>
      </c>
      <c r="B228" s="1" t="s">
        <v>1</v>
      </c>
      <c r="C228" s="3">
        <v>10.9</v>
      </c>
      <c r="D228" s="2">
        <v>7</v>
      </c>
      <c r="E228" s="2">
        <f>TabelaFrecheirinha[[#This Row],[Qtde]]*TabelaFrecheirinha[[#This Row],[Vl. Unitário]]</f>
        <v>76.3</v>
      </c>
      <c r="F228" s="40" t="str">
        <f>VLOOKUP(TabelaFrecheirinha[[#This Row],[Código+Produto]],Base!A:C,3,0)</f>
        <v>farinha de rosca mp</v>
      </c>
      <c r="G228" s="8" t="str">
        <f>VLOOKUP(A228,Base!A:D,4,0)</f>
        <v>SECOS E MERCEARIA</v>
      </c>
    </row>
    <row r="229" spans="1:7" x14ac:dyDescent="0.25">
      <c r="A229" s="1" t="s">
        <v>38</v>
      </c>
      <c r="B229" s="1" t="s">
        <v>1</v>
      </c>
      <c r="C229" s="3">
        <v>4</v>
      </c>
      <c r="D229" s="2">
        <v>7</v>
      </c>
      <c r="E229" s="2">
        <f>TabelaFrecheirinha[[#This Row],[Qtde]]*TabelaFrecheirinha[[#This Row],[Vl. Unitário]]</f>
        <v>28</v>
      </c>
      <c r="F229" s="40" t="str">
        <f>VLOOKUP(TabelaFrecheirinha[[#This Row],[Código+Produto]],Base!A:C,3,0)</f>
        <v>farinha de rosca mp</v>
      </c>
      <c r="G229" s="8" t="str">
        <f>VLOOKUP(A229,Base!A:D,4,0)</f>
        <v>SECOS E MERCEARIA</v>
      </c>
    </row>
    <row r="230" spans="1:7" x14ac:dyDescent="0.25">
      <c r="A230" s="1" t="s">
        <v>27</v>
      </c>
      <c r="B230" s="1" t="s">
        <v>1</v>
      </c>
      <c r="C230" s="3">
        <v>10</v>
      </c>
      <c r="D230" s="2">
        <v>4</v>
      </c>
      <c r="E230" s="2">
        <f>TabelaFrecheirinha[[#This Row],[Qtde]]*TabelaFrecheirinha[[#This Row],[Vl. Unitário]]</f>
        <v>40</v>
      </c>
      <c r="F230" s="7" t="str">
        <f>VLOOKUP(TabelaFrecheirinha[[#This Row],[Código+Produto]],Base!A:C,3,0)</f>
        <v>farinha de trigo mp</v>
      </c>
      <c r="G230" s="8" t="str">
        <f>VLOOKUP(A230,Base!A:D,4,0)</f>
        <v>SECOS E MERCEARIA</v>
      </c>
    </row>
    <row r="231" spans="1:7" x14ac:dyDescent="0.25">
      <c r="A231" s="1" t="s">
        <v>36</v>
      </c>
      <c r="B231" s="1" t="s">
        <v>1</v>
      </c>
      <c r="C231" s="3">
        <v>12.3</v>
      </c>
      <c r="D231" s="2">
        <v>6.5</v>
      </c>
      <c r="E231" s="2">
        <f>TabelaFrecheirinha[[#This Row],[Qtde]]*TabelaFrecheirinha[[#This Row],[Vl. Unitário]]</f>
        <v>79.95</v>
      </c>
      <c r="F231" s="7" t="str">
        <f>VLOOKUP(TabelaFrecheirinha[[#This Row],[Código+Produto]],Base!A:C,3,0)</f>
        <v>feijao branco mp</v>
      </c>
      <c r="G231" s="8" t="str">
        <f>VLOOKUP(A231,Base!A:D,4,0)</f>
        <v>SECOS E MERCEARIA</v>
      </c>
    </row>
    <row r="232" spans="1:7" x14ac:dyDescent="0.25">
      <c r="A232" s="1" t="s">
        <v>36</v>
      </c>
      <c r="B232" s="1" t="s">
        <v>1</v>
      </c>
      <c r="C232" s="3">
        <v>20</v>
      </c>
      <c r="D232" s="2">
        <v>6.5</v>
      </c>
      <c r="E232" s="2">
        <f>TabelaFrecheirinha[[#This Row],[Qtde]]*TabelaFrecheirinha[[#This Row],[Vl. Unitário]]</f>
        <v>130</v>
      </c>
      <c r="F232" s="7" t="str">
        <f>VLOOKUP(TabelaFrecheirinha[[#This Row],[Código+Produto]],Base!A:C,3,0)</f>
        <v>feijao branco mp</v>
      </c>
      <c r="G232" s="8" t="str">
        <f>VLOOKUP(A232,Base!A:D,4,0)</f>
        <v>SECOS E MERCEARIA</v>
      </c>
    </row>
    <row r="233" spans="1:7" x14ac:dyDescent="0.25">
      <c r="A233" s="1" t="s">
        <v>46</v>
      </c>
      <c r="B233" s="1" t="s">
        <v>1</v>
      </c>
      <c r="C233" s="3">
        <v>3.3</v>
      </c>
      <c r="D233" s="2">
        <v>6.8707000000000003</v>
      </c>
      <c r="E233" s="2">
        <f>TabelaFrecheirinha[[#This Row],[Qtde]]*TabelaFrecheirinha[[#This Row],[Vl. Unitário]]</f>
        <v>22.673310000000001</v>
      </c>
      <c r="F233" s="7" t="str">
        <f>VLOOKUP(TabelaFrecheirinha[[#This Row],[Código+Produto]],Base!A:C,3,0)</f>
        <v>ketchup mp</v>
      </c>
      <c r="G233" s="8" t="str">
        <f>VLOOKUP(A233,Base!A:D,4,0)</f>
        <v>SECOS E MERCEARIA</v>
      </c>
    </row>
    <row r="234" spans="1:7" x14ac:dyDescent="0.25">
      <c r="A234" s="1" t="s">
        <v>42</v>
      </c>
      <c r="B234" s="1" t="s">
        <v>1237</v>
      </c>
      <c r="C234" s="3">
        <v>2</v>
      </c>
      <c r="D234" s="2">
        <v>41.86</v>
      </c>
      <c r="E234" s="2">
        <f>TabelaFrecheirinha[[#This Row],[Qtde]]*TabelaFrecheirinha[[#This Row],[Vl. Unitário]]</f>
        <v>83.72</v>
      </c>
      <c r="F234" s="7" t="str">
        <f>VLOOKUP(TabelaFrecheirinha[[#This Row],[Código+Produto]],Base!A:C,3,0)</f>
        <v>macarrao espaguete mp</v>
      </c>
      <c r="G234" s="8" t="str">
        <f>VLOOKUP(A234,Base!A:D,4,0)</f>
        <v>SECOS E MERCEARIA</v>
      </c>
    </row>
    <row r="235" spans="1:7" x14ac:dyDescent="0.25">
      <c r="A235" s="1" t="s">
        <v>42</v>
      </c>
      <c r="B235" s="1" t="s">
        <v>43</v>
      </c>
      <c r="C235" s="3">
        <v>28</v>
      </c>
      <c r="D235" s="2">
        <v>2.99</v>
      </c>
      <c r="E235" s="2">
        <f>TabelaFrecheirinha[[#This Row],[Qtde]]*TabelaFrecheirinha[[#This Row],[Vl. Unitário]]</f>
        <v>83.72</v>
      </c>
      <c r="F235" s="7" t="str">
        <f>VLOOKUP(TabelaFrecheirinha[[#This Row],[Código+Produto]],Base!A:C,3,0)</f>
        <v>macarrao espaguete mp</v>
      </c>
      <c r="G235" s="8" t="str">
        <f>VLOOKUP(A235,Base!A:D,4,0)</f>
        <v>SECOS E MERCEARIA</v>
      </c>
    </row>
    <row r="236" spans="1:7" x14ac:dyDescent="0.25">
      <c r="A236" s="1" t="s">
        <v>42</v>
      </c>
      <c r="B236" s="1" t="s">
        <v>43</v>
      </c>
      <c r="C236" s="3">
        <v>14</v>
      </c>
      <c r="D236" s="2">
        <v>2.99</v>
      </c>
      <c r="E236" s="2">
        <f>TabelaFrecheirinha[[#This Row],[Qtde]]*TabelaFrecheirinha[[#This Row],[Vl. Unitário]]</f>
        <v>41.86</v>
      </c>
      <c r="F236" s="40" t="str">
        <f>VLOOKUP(TabelaFrecheirinha[[#This Row],[Código+Produto]],Base!A:C,3,0)</f>
        <v>macarrao espaguete mp</v>
      </c>
      <c r="G236" s="8" t="str">
        <f>VLOOKUP(A236,Base!A:D,4,0)</f>
        <v>SECOS E MERCEARIA</v>
      </c>
    </row>
    <row r="237" spans="1:7" x14ac:dyDescent="0.25">
      <c r="A237" s="1" t="s">
        <v>39</v>
      </c>
      <c r="B237" s="1" t="s">
        <v>1</v>
      </c>
      <c r="C237" s="3">
        <v>16.8</v>
      </c>
      <c r="D237" s="2">
        <v>10.6678</v>
      </c>
      <c r="E237" s="2">
        <f>TabelaFrecheirinha[[#This Row],[Qtde]]*TabelaFrecheirinha[[#This Row],[Vl. Unitário]]</f>
        <v>179.21904000000001</v>
      </c>
      <c r="F237" s="7" t="str">
        <f>VLOOKUP(TabelaFrecheirinha[[#This Row],[Código+Produto]],Base!A:C,3,0)</f>
        <v>maionese mp</v>
      </c>
      <c r="G237" s="8" t="str">
        <f>VLOOKUP(A237,Base!A:D,4,0)</f>
        <v>SECOS E MERCEARIA</v>
      </c>
    </row>
    <row r="238" spans="1:7" x14ac:dyDescent="0.25">
      <c r="A238" s="1" t="s">
        <v>39</v>
      </c>
      <c r="B238" s="1" t="s">
        <v>1</v>
      </c>
      <c r="C238" s="3">
        <v>35.6</v>
      </c>
      <c r="D238" s="2">
        <v>10.6678</v>
      </c>
      <c r="E238" s="2">
        <f>TabelaFrecheirinha[[#This Row],[Qtde]]*TabelaFrecheirinha[[#This Row],[Vl. Unitário]]</f>
        <v>379.77368000000001</v>
      </c>
      <c r="F238" s="7" t="str">
        <f>VLOOKUP(TabelaFrecheirinha[[#This Row],[Código+Produto]],Base!A:C,3,0)</f>
        <v>maionese mp</v>
      </c>
      <c r="G238" s="8" t="str">
        <f>VLOOKUP(A238,Base!A:D,4,0)</f>
        <v>SECOS E MERCEARIA</v>
      </c>
    </row>
    <row r="239" spans="1:7" x14ac:dyDescent="0.25">
      <c r="A239" s="1" t="s">
        <v>39</v>
      </c>
      <c r="B239" s="1" t="s">
        <v>1</v>
      </c>
      <c r="C239" s="3">
        <v>16.8</v>
      </c>
      <c r="D239" s="2">
        <v>10.774699999999999</v>
      </c>
      <c r="E239" s="2">
        <f>TabelaFrecheirinha[[#This Row],[Qtde]]*TabelaFrecheirinha[[#This Row],[Vl. Unitário]]</f>
        <v>181.01496</v>
      </c>
      <c r="F239" s="7" t="str">
        <f>VLOOKUP(TabelaFrecheirinha[[#This Row],[Código+Produto]],Base!A:C,3,0)</f>
        <v>maionese mp</v>
      </c>
      <c r="G239" s="8" t="str">
        <f>VLOOKUP(A239,Base!A:D,4,0)</f>
        <v>SECOS E MERCEARIA</v>
      </c>
    </row>
    <row r="240" spans="1:7" x14ac:dyDescent="0.25">
      <c r="A240" s="1" t="s">
        <v>39</v>
      </c>
      <c r="B240" s="1" t="s">
        <v>1</v>
      </c>
      <c r="C240" s="3">
        <v>33.6</v>
      </c>
      <c r="D240" s="2">
        <v>10.774699999999999</v>
      </c>
      <c r="E240" s="2">
        <f>TabelaFrecheirinha[[#This Row],[Qtde]]*TabelaFrecheirinha[[#This Row],[Vl. Unitário]]</f>
        <v>362.02992</v>
      </c>
      <c r="F240" s="7" t="str">
        <f>VLOOKUP(TabelaFrecheirinha[[#This Row],[Código+Produto]],Base!A:C,3,0)</f>
        <v>maionese mp</v>
      </c>
      <c r="G240" s="8" t="str">
        <f>VLOOKUP(A240,Base!A:D,4,0)</f>
        <v>SECOS E MERCEARIA</v>
      </c>
    </row>
    <row r="241" spans="1:7" x14ac:dyDescent="0.25">
      <c r="A241" s="1" t="s">
        <v>39</v>
      </c>
      <c r="B241" s="1" t="s">
        <v>1</v>
      </c>
      <c r="C241" s="3">
        <v>16.8</v>
      </c>
      <c r="D241" s="2">
        <v>10.774699999999999</v>
      </c>
      <c r="E241" s="2">
        <f>TabelaFrecheirinha[[#This Row],[Qtde]]*TabelaFrecheirinha[[#This Row],[Vl. Unitário]]</f>
        <v>181.01496</v>
      </c>
      <c r="F241" s="7" t="str">
        <f>VLOOKUP(TabelaFrecheirinha[[#This Row],[Código+Produto]],Base!A:C,3,0)</f>
        <v>maionese mp</v>
      </c>
      <c r="G241" s="8" t="str">
        <f>VLOOKUP(A241,Base!A:D,4,0)</f>
        <v>SECOS E MERCEARIA</v>
      </c>
    </row>
    <row r="242" spans="1:7" x14ac:dyDescent="0.25">
      <c r="A242" s="1" t="s">
        <v>39</v>
      </c>
      <c r="B242" s="1" t="s">
        <v>1</v>
      </c>
      <c r="C242" s="3">
        <v>16.8</v>
      </c>
      <c r="D242" s="2">
        <v>10.774699999999999</v>
      </c>
      <c r="E242" s="2">
        <f>TabelaFrecheirinha[[#This Row],[Qtde]]*TabelaFrecheirinha[[#This Row],[Vl. Unitário]]</f>
        <v>181.01496</v>
      </c>
      <c r="F242" s="7" t="str">
        <f>VLOOKUP(TabelaFrecheirinha[[#This Row],[Código+Produto]],Base!A:C,3,0)</f>
        <v>maionese mp</v>
      </c>
      <c r="G242" s="8" t="str">
        <f>VLOOKUP(A242,Base!A:D,4,0)</f>
        <v>SECOS E MERCEARIA</v>
      </c>
    </row>
    <row r="243" spans="1:7" x14ac:dyDescent="0.25">
      <c r="A243" s="1" t="s">
        <v>1199</v>
      </c>
      <c r="B243" s="1" t="s">
        <v>1</v>
      </c>
      <c r="C243" s="3">
        <v>10</v>
      </c>
      <c r="D243" s="2">
        <v>0.67</v>
      </c>
      <c r="E243" s="2">
        <f>TabelaFrecheirinha[[#This Row],[Qtde]]*TabelaFrecheirinha[[#This Row],[Vl. Unitário]]</f>
        <v>6.7</v>
      </c>
      <c r="F243" s="7" t="str">
        <f>VLOOKUP(TabelaFrecheirinha[[#This Row],[Código+Produto]],Base!A:C,3,0)</f>
        <v>sal refinado mp</v>
      </c>
      <c r="G243" s="8" t="str">
        <f>VLOOKUP(A243,Base!A:D,4,0)</f>
        <v>SECOS E MERCEARIA</v>
      </c>
    </row>
    <row r="244" spans="1:7" x14ac:dyDescent="0.25">
      <c r="A244" s="1" t="s">
        <v>1199</v>
      </c>
      <c r="B244" s="1" t="s">
        <v>1</v>
      </c>
      <c r="C244" s="3">
        <v>13</v>
      </c>
      <c r="D244" s="2">
        <v>0.67</v>
      </c>
      <c r="E244" s="2">
        <f>TabelaFrecheirinha[[#This Row],[Qtde]]*TabelaFrecheirinha[[#This Row],[Vl. Unitário]]</f>
        <v>8.7100000000000009</v>
      </c>
      <c r="F244" s="7" t="str">
        <f>VLOOKUP(TabelaFrecheirinha[[#This Row],[Código+Produto]],Base!A:C,3,0)</f>
        <v>sal refinado mp</v>
      </c>
      <c r="G244" s="8" t="str">
        <f>VLOOKUP(A244,Base!A:D,4,0)</f>
        <v>SECOS E MERCEARIA</v>
      </c>
    </row>
    <row r="245" spans="1:7" x14ac:dyDescent="0.25">
      <c r="A245" s="1" t="s">
        <v>1199</v>
      </c>
      <c r="B245" s="1" t="s">
        <v>1</v>
      </c>
      <c r="C245" s="3">
        <v>7</v>
      </c>
      <c r="D245" s="2">
        <v>0.67</v>
      </c>
      <c r="E245" s="2">
        <f>TabelaFrecheirinha[[#This Row],[Qtde]]*TabelaFrecheirinha[[#This Row],[Vl. Unitário]]</f>
        <v>4.6900000000000004</v>
      </c>
      <c r="F245" s="40" t="str">
        <f>VLOOKUP(TabelaFrecheirinha[[#This Row],[Código+Produto]],Base!A:C,3,0)</f>
        <v>sal refinado mp</v>
      </c>
      <c r="G245" s="8" t="str">
        <f>VLOOKUP(A245,Base!A:D,4,0)</f>
        <v>SECOS E MERCEARIA</v>
      </c>
    </row>
    <row r="246" spans="1:7" x14ac:dyDescent="0.25">
      <c r="A246" s="1" t="s">
        <v>1199</v>
      </c>
      <c r="B246" s="1" t="s">
        <v>1</v>
      </c>
      <c r="C246" s="3">
        <v>5</v>
      </c>
      <c r="D246" s="2">
        <v>0.67</v>
      </c>
      <c r="E246" s="2">
        <f>TabelaFrecheirinha[[#This Row],[Qtde]]*TabelaFrecheirinha[[#This Row],[Vl. Unitário]]</f>
        <v>3.35</v>
      </c>
      <c r="F246" s="40" t="str">
        <f>VLOOKUP(TabelaFrecheirinha[[#This Row],[Código+Produto]],Base!A:C,3,0)</f>
        <v>sal refinado mp</v>
      </c>
      <c r="G246" s="8" t="str">
        <f>VLOOKUP(A246,Base!A:D,4,0)</f>
        <v>SECOS E MERCEARIA</v>
      </c>
    </row>
    <row r="247" spans="1:7" x14ac:dyDescent="0.25">
      <c r="A247" s="1" t="s">
        <v>44</v>
      </c>
      <c r="B247" s="1" t="s">
        <v>10</v>
      </c>
      <c r="C247" s="3">
        <v>12</v>
      </c>
      <c r="D247" s="2">
        <v>1.46</v>
      </c>
      <c r="E247" s="2">
        <f>TabelaFrecheirinha[[#This Row],[Qtde]]*TabelaFrecheirinha[[#This Row],[Vl. Unitário]]</f>
        <v>17.52</v>
      </c>
      <c r="F247" s="7" t="str">
        <f>VLOOKUP(TabelaFrecheirinha[[#This Row],[Código+Produto]],Base!A:C,3,0)</f>
        <v>vinagre mp</v>
      </c>
      <c r="G247" s="8" t="str">
        <f>VLOOKUP(A247,Base!A:D,4,0)</f>
        <v>SECOS E MERCEARIA</v>
      </c>
    </row>
    <row r="248" spans="1:7" x14ac:dyDescent="0.25">
      <c r="A248" s="1" t="s">
        <v>47</v>
      </c>
      <c r="B248" s="1" t="s">
        <v>1</v>
      </c>
      <c r="C248" s="3">
        <v>10.4</v>
      </c>
      <c r="D248" s="2">
        <v>23.151399999999999</v>
      </c>
      <c r="E248" s="2">
        <f>TabelaFrecheirinha[[#This Row],[Qtde]]*TabelaFrecheirinha[[#This Row],[Vl. Unitário]]</f>
        <v>240.77456000000001</v>
      </c>
      <c r="F248" s="7" t="str">
        <f>VLOOKUP(TabelaFrecheirinha[[#This Row],[Código+Produto]],Base!A:C,3,0)</f>
        <v>bacon mp</v>
      </c>
      <c r="G248" s="8" t="str">
        <f>VLOOKUP(A248,Base!A:D,4,0)</f>
        <v>SUINOS E DERIVADOS</v>
      </c>
    </row>
    <row r="249" spans="1:7" x14ac:dyDescent="0.25">
      <c r="A249" s="1" t="s">
        <v>47</v>
      </c>
      <c r="B249" s="1" t="s">
        <v>1</v>
      </c>
      <c r="C249" s="3">
        <v>12</v>
      </c>
      <c r="D249" s="2">
        <v>24.191400000000002</v>
      </c>
      <c r="E249" s="2">
        <f>TabelaFrecheirinha[[#This Row],[Qtde]]*TabelaFrecheirinha[[#This Row],[Vl. Unitário]]</f>
        <v>290.29680000000002</v>
      </c>
      <c r="F249" s="7" t="str">
        <f>VLOOKUP(TabelaFrecheirinha[[#This Row],[Código+Produto]],Base!A:C,3,0)</f>
        <v>bacon mp</v>
      </c>
      <c r="G249" s="8" t="str">
        <f>VLOOKUP(A249,Base!A:D,4,0)</f>
        <v>SUINOS E DERIVADOS</v>
      </c>
    </row>
    <row r="250" spans="1:7" x14ac:dyDescent="0.25">
      <c r="A250" s="1" t="s">
        <v>16</v>
      </c>
      <c r="B250" s="1" t="s">
        <v>1</v>
      </c>
      <c r="C250" s="3">
        <v>29</v>
      </c>
      <c r="D250" s="2">
        <v>16.5701</v>
      </c>
      <c r="E250" s="2">
        <f>TabelaFrecheirinha[[#This Row],[Qtde]]*TabelaFrecheirinha[[#This Row],[Vl. Unitário]]</f>
        <v>480.53289999999998</v>
      </c>
      <c r="F250" s="7" t="str">
        <f>VLOOKUP(TabelaFrecheirinha[[#This Row],[Código+Produto]],Base!A:C,3,0)</f>
        <v>carne suina mp</v>
      </c>
      <c r="G250" s="8" t="str">
        <f>VLOOKUP(A250,Base!A:D,4,0)</f>
        <v>SUINOS E DERIVADOS</v>
      </c>
    </row>
    <row r="251" spans="1:7" x14ac:dyDescent="0.25">
      <c r="A251" s="1" t="s">
        <v>16</v>
      </c>
      <c r="B251" s="1" t="s">
        <v>1</v>
      </c>
      <c r="C251" s="3">
        <v>17</v>
      </c>
      <c r="D251" s="2">
        <v>16.5701</v>
      </c>
      <c r="E251" s="2">
        <f>TabelaFrecheirinha[[#This Row],[Qtde]]*TabelaFrecheirinha[[#This Row],[Vl. Unitário]]</f>
        <v>281.69170000000003</v>
      </c>
      <c r="F251" s="7" t="str">
        <f>VLOOKUP(TabelaFrecheirinha[[#This Row],[Código+Produto]],Base!A:C,3,0)</f>
        <v>carne suina mp</v>
      </c>
      <c r="G251" s="8" t="str">
        <f>VLOOKUP(A251,Base!A:D,4,0)</f>
        <v>SUINOS E DERIVADOS</v>
      </c>
    </row>
    <row r="252" spans="1:7" x14ac:dyDescent="0.25">
      <c r="A252" s="1" t="s">
        <v>16</v>
      </c>
      <c r="B252" s="1" t="s">
        <v>1</v>
      </c>
      <c r="C252" s="3">
        <v>28</v>
      </c>
      <c r="D252" s="2">
        <v>16.5701</v>
      </c>
      <c r="E252" s="2">
        <f>TabelaFrecheirinha[[#This Row],[Qtde]]*TabelaFrecheirinha[[#This Row],[Vl. Unitário]]</f>
        <v>463.96280000000002</v>
      </c>
      <c r="F252" s="7" t="str">
        <f>VLOOKUP(TabelaFrecheirinha[[#This Row],[Código+Produto]],Base!A:C,3,0)</f>
        <v>carne suina mp</v>
      </c>
      <c r="G252" s="8" t="str">
        <f>VLOOKUP(A252,Base!A:D,4,0)</f>
        <v>SUINOS E DERIVADOS</v>
      </c>
    </row>
    <row r="253" spans="1:7" x14ac:dyDescent="0.25">
      <c r="A253" s="1" t="s">
        <v>16</v>
      </c>
      <c r="B253" s="1" t="s">
        <v>1</v>
      </c>
      <c r="C253" s="3">
        <v>6.8</v>
      </c>
      <c r="D253" s="2">
        <v>16.5701</v>
      </c>
      <c r="E253" s="2">
        <f>TabelaFrecheirinha[[#This Row],[Qtde]]*TabelaFrecheirinha[[#This Row],[Vl. Unitário]]</f>
        <v>112.67667999999999</v>
      </c>
      <c r="F253" s="7" t="str">
        <f>VLOOKUP(TabelaFrecheirinha[[#This Row],[Código+Produto]],Base!A:C,3,0)</f>
        <v>carne suina mp</v>
      </c>
      <c r="G253" s="8" t="str">
        <f>VLOOKUP(A253,Base!A:D,4,0)</f>
        <v>SUINOS E DERIVADOS</v>
      </c>
    </row>
    <row r="254" spans="1:7" x14ac:dyDescent="0.25">
      <c r="A254" s="1" t="s">
        <v>16</v>
      </c>
      <c r="B254" s="1" t="s">
        <v>1</v>
      </c>
      <c r="C254" s="3">
        <v>24</v>
      </c>
      <c r="D254" s="2">
        <v>16.5701</v>
      </c>
      <c r="E254" s="2">
        <f>TabelaFrecheirinha[[#This Row],[Qtde]]*TabelaFrecheirinha[[#This Row],[Vl. Unitário]]</f>
        <v>397.68240000000003</v>
      </c>
      <c r="F254" s="7" t="str">
        <f>VLOOKUP(TabelaFrecheirinha[[#This Row],[Código+Produto]],Base!A:C,3,0)</f>
        <v>carne suina mp</v>
      </c>
      <c r="G254" s="8" t="str">
        <f>VLOOKUP(A254,Base!A:D,4,0)</f>
        <v>SUINOS E DERIVADOS</v>
      </c>
    </row>
    <row r="255" spans="1:7" x14ac:dyDescent="0.25">
      <c r="A255" s="1" t="s">
        <v>16</v>
      </c>
      <c r="B255" s="1" t="s">
        <v>1</v>
      </c>
      <c r="C255" s="3">
        <v>14</v>
      </c>
      <c r="D255" s="2">
        <v>16.5701</v>
      </c>
      <c r="E255" s="2">
        <f>TabelaFrecheirinha[[#This Row],[Qtde]]*TabelaFrecheirinha[[#This Row],[Vl. Unitário]]</f>
        <v>231.98140000000001</v>
      </c>
      <c r="F255" s="7" t="str">
        <f>VLOOKUP(TabelaFrecheirinha[[#This Row],[Código+Produto]],Base!A:C,3,0)</f>
        <v>carne suina mp</v>
      </c>
      <c r="G255" s="8" t="str">
        <f>VLOOKUP(A255,Base!A:D,4,0)</f>
        <v>SUINOS E DERIVADOS</v>
      </c>
    </row>
    <row r="256" spans="1:7" x14ac:dyDescent="0.25">
      <c r="A256" s="1" t="s">
        <v>16</v>
      </c>
      <c r="B256" s="1" t="s">
        <v>1</v>
      </c>
      <c r="C256" s="3">
        <v>19</v>
      </c>
      <c r="D256" s="2">
        <v>16.5701</v>
      </c>
      <c r="E256" s="2">
        <f>TabelaFrecheirinha[[#This Row],[Qtde]]*TabelaFrecheirinha[[#This Row],[Vl. Unitário]]</f>
        <v>314.83190000000002</v>
      </c>
      <c r="F256" s="7" t="str">
        <f>VLOOKUP(TabelaFrecheirinha[[#This Row],[Código+Produto]],Base!A:C,3,0)</f>
        <v>carne suina mp</v>
      </c>
      <c r="G256" s="8" t="str">
        <f>VLOOKUP(A256,Base!A:D,4,0)</f>
        <v>SUINOS E DERIVADOS</v>
      </c>
    </row>
    <row r="257" spans="1:7" x14ac:dyDescent="0.25">
      <c r="A257" s="1" t="s">
        <v>16</v>
      </c>
      <c r="B257" s="1" t="s">
        <v>1</v>
      </c>
      <c r="C257" s="3">
        <v>19.8</v>
      </c>
      <c r="D257" s="2">
        <v>16.5701</v>
      </c>
      <c r="E257" s="2">
        <f>TabelaFrecheirinha[[#This Row],[Qtde]]*TabelaFrecheirinha[[#This Row],[Vl. Unitário]]</f>
        <v>328.08798000000002</v>
      </c>
      <c r="F257" s="7" t="str">
        <f>VLOOKUP(TabelaFrecheirinha[[#This Row],[Código+Produto]],Base!A:C,3,0)</f>
        <v>carne suina mp</v>
      </c>
      <c r="G257" s="8" t="str">
        <f>VLOOKUP(A257,Base!A:D,4,0)</f>
        <v>SUINOS E DERIVADOS</v>
      </c>
    </row>
    <row r="258" spans="1:7" x14ac:dyDescent="0.25">
      <c r="A258" s="1" t="s">
        <v>16</v>
      </c>
      <c r="B258" s="1" t="s">
        <v>1</v>
      </c>
      <c r="C258" s="3">
        <v>34</v>
      </c>
      <c r="D258" s="2">
        <v>16.5701</v>
      </c>
      <c r="E258" s="2">
        <f>TabelaFrecheirinha[[#This Row],[Qtde]]*TabelaFrecheirinha[[#This Row],[Vl. Unitário]]</f>
        <v>563.38340000000005</v>
      </c>
      <c r="F258" s="7" t="str">
        <f>VLOOKUP(TabelaFrecheirinha[[#This Row],[Código+Produto]],Base!A:C,3,0)</f>
        <v>carne suina mp</v>
      </c>
      <c r="G258" s="8" t="str">
        <f>VLOOKUP(A258,Base!A:D,4,0)</f>
        <v>SUINOS E DERIVADOS</v>
      </c>
    </row>
    <row r="259" spans="1:7" x14ac:dyDescent="0.25">
      <c r="A259" s="1" t="s">
        <v>16</v>
      </c>
      <c r="B259" s="1" t="s">
        <v>1</v>
      </c>
      <c r="C259" s="3">
        <v>8</v>
      </c>
      <c r="D259" s="2">
        <v>16.5701</v>
      </c>
      <c r="E259" s="2">
        <f>TabelaFrecheirinha[[#This Row],[Qtde]]*TabelaFrecheirinha[[#This Row],[Vl. Unitário]]</f>
        <v>132.5608</v>
      </c>
      <c r="F259" s="7" t="str">
        <f>VLOOKUP(TabelaFrecheirinha[[#This Row],[Código+Produto]],Base!A:C,3,0)</f>
        <v>carne suina mp</v>
      </c>
      <c r="G259" s="8" t="str">
        <f>VLOOKUP(A259,Base!A:D,4,0)</f>
        <v>SUINOS E DERIVADOS</v>
      </c>
    </row>
    <row r="260" spans="1:7" x14ac:dyDescent="0.25">
      <c r="A260" s="1" t="s">
        <v>16</v>
      </c>
      <c r="B260" s="1" t="s">
        <v>1</v>
      </c>
      <c r="C260" s="3">
        <v>8.5</v>
      </c>
      <c r="D260" s="2">
        <v>16.5701</v>
      </c>
      <c r="E260" s="2">
        <f>TabelaFrecheirinha[[#This Row],[Qtde]]*TabelaFrecheirinha[[#This Row],[Vl. Unitário]]</f>
        <v>140.84585000000001</v>
      </c>
      <c r="F260" s="40" t="str">
        <f>VLOOKUP(TabelaFrecheirinha[[#This Row],[Código+Produto]],Base!A:C,3,0)</f>
        <v>carne suina mp</v>
      </c>
      <c r="G260" s="8" t="str">
        <f>VLOOKUP(A260,Base!A:D,4,0)</f>
        <v>SUINOS E DERIVADOS</v>
      </c>
    </row>
    <row r="261" spans="1:7" x14ac:dyDescent="0.25">
      <c r="A261" s="1" t="s">
        <v>16</v>
      </c>
      <c r="B261" s="1" t="s">
        <v>1</v>
      </c>
      <c r="C261" s="3">
        <v>19.5</v>
      </c>
      <c r="D261" s="2">
        <v>16.5701</v>
      </c>
      <c r="E261" s="2">
        <f>TabelaFrecheirinha[[#This Row],[Qtde]]*TabelaFrecheirinha[[#This Row],[Vl. Unitário]]</f>
        <v>323.11694999999997</v>
      </c>
      <c r="F261" s="40" t="str">
        <f>VLOOKUP(TabelaFrecheirinha[[#This Row],[Código+Produto]],Base!A:C,3,0)</f>
        <v>carne suina mp</v>
      </c>
      <c r="G261" s="8" t="str">
        <f>VLOOKUP(A261,Base!A:D,4,0)</f>
        <v>SUINOS E DERIVADOS</v>
      </c>
    </row>
    <row r="262" spans="1:7" x14ac:dyDescent="0.25">
      <c r="A262" s="1" t="s">
        <v>16</v>
      </c>
      <c r="B262" s="1" t="s">
        <v>1</v>
      </c>
      <c r="C262" s="3">
        <v>42</v>
      </c>
      <c r="D262" s="2">
        <v>16.5701</v>
      </c>
      <c r="E262" s="2">
        <f>TabelaFrecheirinha[[#This Row],[Qtde]]*TabelaFrecheirinha[[#This Row],[Vl. Unitário]]</f>
        <v>695.94420000000002</v>
      </c>
      <c r="F262" s="40" t="str">
        <f>VLOOKUP(TabelaFrecheirinha[[#This Row],[Código+Produto]],Base!A:C,3,0)</f>
        <v>carne suina mp</v>
      </c>
      <c r="G262" s="8" t="str">
        <f>VLOOKUP(A262,Base!A:D,4,0)</f>
        <v>SUINOS E DERIVADOS</v>
      </c>
    </row>
    <row r="263" spans="1:7" x14ac:dyDescent="0.25">
      <c r="A263" s="1" t="s">
        <v>17</v>
      </c>
      <c r="B263" s="1" t="s">
        <v>1</v>
      </c>
      <c r="C263" s="3">
        <v>3.4</v>
      </c>
      <c r="D263" s="2">
        <v>19.510000000000002</v>
      </c>
      <c r="E263" s="2">
        <f>TabelaFrecheirinha[[#This Row],[Qtde]]*TabelaFrecheirinha[[#This Row],[Vl. Unitário]]</f>
        <v>66.334000000000003</v>
      </c>
      <c r="F263" s="7" t="str">
        <f>VLOOKUP(TabelaFrecheirinha[[#This Row],[Código+Produto]],Base!A:C,3,0)</f>
        <v>costela suina mp</v>
      </c>
      <c r="G263" s="8" t="str">
        <f>VLOOKUP(A263,Base!A:D,4,0)</f>
        <v>SUINOS E DERIVADOS</v>
      </c>
    </row>
    <row r="264" spans="1:7" x14ac:dyDescent="0.25">
      <c r="A264" s="1" t="s">
        <v>17</v>
      </c>
      <c r="B264" s="1" t="s">
        <v>1</v>
      </c>
      <c r="C264" s="3">
        <v>5</v>
      </c>
      <c r="D264" s="2">
        <v>19.510000000000002</v>
      </c>
      <c r="E264" s="2">
        <f>TabelaFrecheirinha[[#This Row],[Qtde]]*TabelaFrecheirinha[[#This Row],[Vl. Unitário]]</f>
        <v>97.550000000000011</v>
      </c>
      <c r="F264" s="7" t="str">
        <f>VLOOKUP(TabelaFrecheirinha[[#This Row],[Código+Produto]],Base!A:C,3,0)</f>
        <v>costela suina mp</v>
      </c>
      <c r="G264" s="8" t="str">
        <f>VLOOKUP(A264,Base!A:D,4,0)</f>
        <v>SUINOS E DERIVADOS</v>
      </c>
    </row>
    <row r="265" spans="1:7" x14ac:dyDescent="0.25">
      <c r="A265" s="1" t="s">
        <v>17</v>
      </c>
      <c r="B265" s="1" t="s">
        <v>1</v>
      </c>
      <c r="C265" s="3">
        <v>17</v>
      </c>
      <c r="D265" s="2">
        <v>19.510000000000002</v>
      </c>
      <c r="E265" s="2">
        <f>TabelaFrecheirinha[[#This Row],[Qtde]]*TabelaFrecheirinha[[#This Row],[Vl. Unitário]]</f>
        <v>331.67</v>
      </c>
      <c r="F265" s="40" t="str">
        <f>VLOOKUP(TabelaFrecheirinha[[#This Row],[Código+Produto]],Base!A:C,3,0)</f>
        <v>costela suina mp</v>
      </c>
      <c r="G265" s="8" t="str">
        <f>VLOOKUP(A265,Base!A:D,4,0)</f>
        <v>SUINOS E DERIVADOS</v>
      </c>
    </row>
    <row r="266" spans="1:7" x14ac:dyDescent="0.25">
      <c r="A266" s="1" t="s">
        <v>17</v>
      </c>
      <c r="B266" s="1" t="s">
        <v>1</v>
      </c>
      <c r="C266" s="3">
        <v>8.15</v>
      </c>
      <c r="D266" s="2">
        <v>19.510000000000002</v>
      </c>
      <c r="E266" s="2">
        <f>TabelaFrecheirinha[[#This Row],[Qtde]]*TabelaFrecheirinha[[#This Row],[Vl. Unitário]]</f>
        <v>159.00650000000002</v>
      </c>
      <c r="F266" s="40" t="str">
        <f>VLOOKUP(TabelaFrecheirinha[[#This Row],[Código+Produto]],Base!A:C,3,0)</f>
        <v>costela suina mp</v>
      </c>
      <c r="G266" s="8" t="str">
        <f>VLOOKUP(A266,Base!A:D,4,0)</f>
        <v>SUINOS E DERIVADOS</v>
      </c>
    </row>
    <row r="267" spans="1:7" x14ac:dyDescent="0.25">
      <c r="A267" s="1" t="s">
        <v>45</v>
      </c>
      <c r="B267" s="1" t="s">
        <v>1</v>
      </c>
      <c r="C267" s="3">
        <v>2.2000000000000002</v>
      </c>
      <c r="D267" s="2">
        <v>30.122699999999998</v>
      </c>
      <c r="E267" s="2">
        <f>TabelaFrecheirinha[[#This Row],[Qtde]]*TabelaFrecheirinha[[#This Row],[Vl. Unitário]]</f>
        <v>66.269940000000005</v>
      </c>
      <c r="F267" s="7" t="str">
        <f>VLOOKUP(TabelaFrecheirinha[[#This Row],[Código+Produto]],Base!A:C,3,0)</f>
        <v>amaciante de carne mp</v>
      </c>
      <c r="G267" s="8" t="str">
        <f>VLOOKUP(A267,Base!A:D,4,0)</f>
        <v>TEMPEROS E CORANTES</v>
      </c>
    </row>
    <row r="268" spans="1:7" x14ac:dyDescent="0.25">
      <c r="A268" s="1" t="s">
        <v>56</v>
      </c>
      <c r="B268" s="1" t="s">
        <v>57</v>
      </c>
      <c r="C268" s="3">
        <v>8</v>
      </c>
      <c r="D268" s="2">
        <v>11.163</v>
      </c>
      <c r="E268" s="2">
        <f>TabelaFrecheirinha[[#This Row],[Qtde]]*TabelaFrecheirinha[[#This Row],[Vl. Unitário]]</f>
        <v>89.304000000000002</v>
      </c>
      <c r="F268" s="7" t="str">
        <f>VLOOKUP(TabelaFrecheirinha[[#This Row],[Código+Produto]],Base!A:C,3,0)</f>
        <v>cafe em po mp</v>
      </c>
      <c r="G268" s="8" t="str">
        <f>VLOOKUP(A268,Base!A:D,4,0)</f>
        <v>CAFES</v>
      </c>
    </row>
    <row r="269" spans="1:7" x14ac:dyDescent="0.25">
      <c r="A269" s="1" t="s">
        <v>56</v>
      </c>
      <c r="B269" s="1" t="s">
        <v>57</v>
      </c>
      <c r="C269" s="3">
        <v>7</v>
      </c>
      <c r="D269" s="2">
        <v>11.163</v>
      </c>
      <c r="E269" s="2">
        <f>TabelaFrecheirinha[[#This Row],[Qtde]]*TabelaFrecheirinha[[#This Row],[Vl. Unitário]]</f>
        <v>78.141000000000005</v>
      </c>
      <c r="F269" s="7" t="str">
        <f>VLOOKUP(TabelaFrecheirinha[[#This Row],[Código+Produto]],Base!A:C,3,0)</f>
        <v>cafe em po mp</v>
      </c>
      <c r="G269" s="8" t="str">
        <f>VLOOKUP(A269,Base!A:D,4,0)</f>
        <v>CAFES</v>
      </c>
    </row>
    <row r="270" spans="1:7" x14ac:dyDescent="0.25">
      <c r="A270" s="1" t="s">
        <v>50</v>
      </c>
      <c r="B270" s="1" t="s">
        <v>51</v>
      </c>
      <c r="C270" s="3">
        <v>18</v>
      </c>
      <c r="D270" s="2">
        <v>7.49</v>
      </c>
      <c r="E270" s="2">
        <f>TabelaFrecheirinha[[#This Row],[Qtde]]*TabelaFrecheirinha[[#This Row],[Vl. Unitário]]</f>
        <v>134.82</v>
      </c>
      <c r="F270" s="7" t="str">
        <f>VLOOKUP(TabelaFrecheirinha[[#This Row],[Código+Produto]],Base!A:C,3,0)</f>
        <v>oleo de soja</v>
      </c>
      <c r="G270" s="8" t="str">
        <f>VLOOKUP(A270,Base!A:D,4,0)</f>
        <v>OLEO DE SOJA</v>
      </c>
    </row>
    <row r="271" spans="1:7" x14ac:dyDescent="0.25">
      <c r="A271" s="1" t="s">
        <v>50</v>
      </c>
      <c r="B271" s="1" t="s">
        <v>51</v>
      </c>
      <c r="C271" s="3">
        <v>24</v>
      </c>
      <c r="D271" s="2">
        <v>7.49</v>
      </c>
      <c r="E271" s="2">
        <f>TabelaFrecheirinha[[#This Row],[Qtde]]*TabelaFrecheirinha[[#This Row],[Vl. Unitário]]</f>
        <v>179.76</v>
      </c>
      <c r="F271" s="7" t="str">
        <f>VLOOKUP(TabelaFrecheirinha[[#This Row],[Código+Produto]],Base!A:C,3,0)</f>
        <v>oleo de soja</v>
      </c>
      <c r="G271" s="8" t="str">
        <f>VLOOKUP(A271,Base!A:D,4,0)</f>
        <v>OLEO DE SOJA</v>
      </c>
    </row>
    <row r="272" spans="1:7" x14ac:dyDescent="0.25">
      <c r="A272" s="1" t="s">
        <v>50</v>
      </c>
      <c r="B272" s="1" t="s">
        <v>51</v>
      </c>
      <c r="C272" s="3">
        <v>60</v>
      </c>
      <c r="D272" s="2">
        <v>7.49</v>
      </c>
      <c r="E272" s="2">
        <f>TabelaFrecheirinha[[#This Row],[Qtde]]*TabelaFrecheirinha[[#This Row],[Vl. Unitário]]</f>
        <v>449.40000000000003</v>
      </c>
      <c r="F272" s="40" t="str">
        <f>VLOOKUP(TabelaFrecheirinha[[#This Row],[Código+Produto]],Base!A:C,3,0)</f>
        <v>oleo de soja</v>
      </c>
      <c r="G272" s="8" t="str">
        <f>VLOOKUP(A272,Base!A:D,4,0)</f>
        <v>OLEO DE SOJA</v>
      </c>
    </row>
    <row r="273" spans="1:7" x14ac:dyDescent="0.25">
      <c r="A273" s="1" t="s">
        <v>41</v>
      </c>
      <c r="B273" s="1" t="s">
        <v>1</v>
      </c>
      <c r="C273" s="3">
        <v>6</v>
      </c>
      <c r="D273" s="2">
        <v>25</v>
      </c>
      <c r="E273" s="2">
        <f>TabelaFrecheirinha[[#This Row],[Qtde]]*TabelaFrecheirinha[[#This Row],[Vl. Unitário]]</f>
        <v>150</v>
      </c>
      <c r="F273" s="7" t="str">
        <f>VLOOKUP(TabelaFrecheirinha[[#This Row],[Código+Produto]],Base!A:C,3,0)</f>
        <v>prep polpa maracuja com sement</v>
      </c>
      <c r="G273" s="8" t="str">
        <f>VLOOKUP(A273,Base!A:D,4,0)</f>
        <v>PRE PREPARO BAR</v>
      </c>
    </row>
    <row r="274" spans="1:7" x14ac:dyDescent="0.25">
      <c r="A274" s="1" t="s">
        <v>41</v>
      </c>
      <c r="B274" s="1" t="s">
        <v>1</v>
      </c>
      <c r="C274" s="3">
        <v>2</v>
      </c>
      <c r="D274" s="2">
        <v>25</v>
      </c>
      <c r="E274" s="2">
        <f>TabelaFrecheirinha[[#This Row],[Qtde]]*TabelaFrecheirinha[[#This Row],[Vl. Unitário]]</f>
        <v>50</v>
      </c>
      <c r="F274" s="7" t="str">
        <f>VLOOKUP(TabelaFrecheirinha[[#This Row],[Código+Produto]],Base!A:C,3,0)</f>
        <v>prep polpa maracuja com sement</v>
      </c>
      <c r="G274" s="8" t="str">
        <f>VLOOKUP(A274,Base!A:D,4,0)</f>
        <v>PRE PREPARO BAR</v>
      </c>
    </row>
    <row r="275" spans="1:7" x14ac:dyDescent="0.25">
      <c r="A275" s="1" t="s">
        <v>41</v>
      </c>
      <c r="B275" s="1" t="s">
        <v>1</v>
      </c>
      <c r="C275" s="3">
        <v>4</v>
      </c>
      <c r="D275" s="2">
        <v>25</v>
      </c>
      <c r="E275" s="2">
        <f>TabelaFrecheirinha[[#This Row],[Qtde]]*TabelaFrecheirinha[[#This Row],[Vl. Unitário]]</f>
        <v>100</v>
      </c>
      <c r="F275" s="7" t="str">
        <f>VLOOKUP(TabelaFrecheirinha[[#This Row],[Código+Produto]],Base!A:C,3,0)</f>
        <v>prep polpa maracuja com sement</v>
      </c>
      <c r="G275" s="8" t="str">
        <f>VLOOKUP(A275,Base!A:D,4,0)</f>
        <v>PRE PREPARO BAR</v>
      </c>
    </row>
    <row r="276" spans="1:7" x14ac:dyDescent="0.25">
      <c r="A276" s="1" t="s">
        <v>41</v>
      </c>
      <c r="B276" s="1" t="s">
        <v>1</v>
      </c>
      <c r="C276" s="3">
        <v>4</v>
      </c>
      <c r="D276" s="2">
        <v>25</v>
      </c>
      <c r="E276" s="2">
        <f>TabelaFrecheirinha[[#This Row],[Qtde]]*TabelaFrecheirinha[[#This Row],[Vl. Unitário]]</f>
        <v>100</v>
      </c>
      <c r="F276" s="7" t="str">
        <f>VLOOKUP(TabelaFrecheirinha[[#This Row],[Código+Produto]],Base!A:C,3,0)</f>
        <v>prep polpa maracuja com sement</v>
      </c>
      <c r="G276" s="8" t="str">
        <f>VLOOKUP(A276,Base!A:D,4,0)</f>
        <v>PRE PREPARO BAR</v>
      </c>
    </row>
    <row r="277" spans="1:7" x14ac:dyDescent="0.25">
      <c r="A277" s="1" t="s">
        <v>41</v>
      </c>
      <c r="B277" s="1" t="s">
        <v>1</v>
      </c>
      <c r="C277" s="3">
        <v>4</v>
      </c>
      <c r="D277" s="2">
        <v>25</v>
      </c>
      <c r="E277" s="2">
        <f>TabelaFrecheirinha[[#This Row],[Qtde]]*TabelaFrecheirinha[[#This Row],[Vl. Unitário]]</f>
        <v>100</v>
      </c>
      <c r="F277" s="7" t="str">
        <f>VLOOKUP(TabelaFrecheirinha[[#This Row],[Código+Produto]],Base!A:C,3,0)</f>
        <v>prep polpa maracuja com sement</v>
      </c>
      <c r="G277" s="8" t="str">
        <f>VLOOKUP(A277,Base!A:D,4,0)</f>
        <v>PRE PREPARO BAR</v>
      </c>
    </row>
    <row r="278" spans="1:7" x14ac:dyDescent="0.25">
      <c r="A278" s="1" t="s">
        <v>41</v>
      </c>
      <c r="B278" s="1" t="s">
        <v>1</v>
      </c>
      <c r="C278" s="3">
        <v>4</v>
      </c>
      <c r="D278" s="2">
        <v>25</v>
      </c>
      <c r="E278" s="2">
        <f>TabelaFrecheirinha[[#This Row],[Qtde]]*TabelaFrecheirinha[[#This Row],[Vl. Unitário]]</f>
        <v>100</v>
      </c>
      <c r="F278" s="7" t="str">
        <f>VLOOKUP(TabelaFrecheirinha[[#This Row],[Código+Produto]],Base!A:C,3,0)</f>
        <v>prep polpa maracuja com sement</v>
      </c>
      <c r="G278" s="8" t="str">
        <f>VLOOKUP(A278,Base!A:D,4,0)</f>
        <v>PRE PREPARO BAR</v>
      </c>
    </row>
    <row r="279" spans="1:7" x14ac:dyDescent="0.25">
      <c r="A279" s="1" t="s">
        <v>41</v>
      </c>
      <c r="B279" s="1" t="s">
        <v>1</v>
      </c>
      <c r="C279" s="3">
        <v>4</v>
      </c>
      <c r="D279" s="2">
        <v>25</v>
      </c>
      <c r="E279" s="2">
        <f>TabelaFrecheirinha[[#This Row],[Qtde]]*TabelaFrecheirinha[[#This Row],[Vl. Unitário]]</f>
        <v>100</v>
      </c>
      <c r="F279" s="7" t="str">
        <f>VLOOKUP(TabelaFrecheirinha[[#This Row],[Código+Produto]],Base!A:C,3,0)</f>
        <v>prep polpa maracuja com sement</v>
      </c>
      <c r="G279" s="8" t="str">
        <f>VLOOKUP(A279,Base!A:D,4,0)</f>
        <v>PRE PREPARO BAR</v>
      </c>
    </row>
    <row r="280" spans="1:7" x14ac:dyDescent="0.25">
      <c r="A280" s="1" t="s">
        <v>41</v>
      </c>
      <c r="B280" s="1" t="s">
        <v>1</v>
      </c>
      <c r="C280" s="3">
        <v>6</v>
      </c>
      <c r="D280" s="2">
        <v>25</v>
      </c>
      <c r="E280" s="2">
        <f>TabelaFrecheirinha[[#This Row],[Qtde]]*TabelaFrecheirinha[[#This Row],[Vl. Unitário]]</f>
        <v>150</v>
      </c>
      <c r="F280" s="40" t="str">
        <f>VLOOKUP(TabelaFrecheirinha[[#This Row],[Código+Produto]],Base!A:C,3,0)</f>
        <v>prep polpa maracuja com sement</v>
      </c>
      <c r="G280" s="8" t="str">
        <f>VLOOKUP(A280,Base!A:D,4,0)</f>
        <v>PRE PREPARO BAR</v>
      </c>
    </row>
    <row r="281" spans="1:7" x14ac:dyDescent="0.25">
      <c r="A281" s="1" t="s">
        <v>1251</v>
      </c>
      <c r="B281" s="1" t="s">
        <v>1</v>
      </c>
      <c r="C281" s="3">
        <v>2.7</v>
      </c>
      <c r="D281" s="2">
        <v>10.7</v>
      </c>
      <c r="E281" s="2">
        <f>TabelaFrecheirinha[[#This Row],[Qtde]]*TabelaFrecheirinha[[#This Row],[Vl. Unitário]]</f>
        <v>28.89</v>
      </c>
      <c r="F281" s="7" t="str">
        <f>VLOOKUP(TabelaFrecheirinha[[#This Row],[Código+Produto]],Base!A:C,3,0)</f>
        <v>prep batata palha frita</v>
      </c>
      <c r="G281" s="8" t="str">
        <f>VLOOKUP(A281,Base!A:D,4,0)</f>
        <v>PRE PREPARO COZINHA</v>
      </c>
    </row>
    <row r="282" spans="1:7" x14ac:dyDescent="0.25">
      <c r="A282" s="1" t="s">
        <v>1198</v>
      </c>
      <c r="B282" s="1" t="s">
        <v>14</v>
      </c>
      <c r="C282" s="3">
        <v>96</v>
      </c>
      <c r="D282" s="2">
        <v>9.5832999999999995</v>
      </c>
      <c r="E282" s="2">
        <f>TabelaFrecheirinha[[#This Row],[Qtde]]*TabelaFrecheirinha[[#This Row],[Vl. Unitário]]</f>
        <v>919.99679999999989</v>
      </c>
      <c r="F282" s="7" t="str">
        <f>VLOOKUP(TabelaFrecheirinha[[#This Row],[Código+Produto]],Base!A:C,3,0)</f>
        <v>HEINEKEN 600ML</v>
      </c>
      <c r="G282" s="8" t="str">
        <f>VLOOKUP(A282,Base!A:D,4,0)</f>
        <v>CERVEJAS</v>
      </c>
    </row>
    <row r="283" spans="1:7" x14ac:dyDescent="0.25">
      <c r="A283" s="1" t="s">
        <v>1243</v>
      </c>
      <c r="B283" s="1" t="s">
        <v>1</v>
      </c>
      <c r="C283" s="3">
        <v>1.4</v>
      </c>
      <c r="D283" s="2">
        <v>12</v>
      </c>
      <c r="E283" s="2">
        <f>TabelaFrecheirinha[[#This Row],[Qtde]]*TabelaFrecheirinha[[#This Row],[Vl. Unitário]]</f>
        <v>16.799999999999997</v>
      </c>
      <c r="F283" s="40" t="str">
        <f>VLOOKUP(TabelaFrecheirinha[[#This Row],[Código+Produto]],Base!A:C,3,0)</f>
        <v>prep fraldinha moida</v>
      </c>
      <c r="G283" s="8" t="str">
        <f>VLOOKUP(A283,Base!A:D,4,0)</f>
        <v>PRE PREPARO COZINHA</v>
      </c>
    </row>
    <row r="284" spans="1:7" x14ac:dyDescent="0.25">
      <c r="A284" s="1" t="s">
        <v>1243</v>
      </c>
      <c r="B284" s="1" t="s">
        <v>1</v>
      </c>
      <c r="C284" s="3">
        <v>2.15</v>
      </c>
      <c r="D284" s="2">
        <v>15</v>
      </c>
      <c r="E284" s="2">
        <f>TabelaFrecheirinha[[#This Row],[Qtde]]*TabelaFrecheirinha[[#This Row],[Vl. Unitário]]</f>
        <v>32.25</v>
      </c>
      <c r="F284" s="40" t="str">
        <f>VLOOKUP(TabelaFrecheirinha[[#This Row],[Código+Produto]],Base!A:C,3,0)</f>
        <v>prep fraldinha moida</v>
      </c>
      <c r="G284" s="8" t="str">
        <f>VLOOKUP(A284,Base!A:D,4,0)</f>
        <v>PRE PREPARO COZINHA</v>
      </c>
    </row>
    <row r="285" spans="1:7" x14ac:dyDescent="0.25">
      <c r="A285" s="1" t="s">
        <v>40</v>
      </c>
      <c r="B285" s="1" t="s">
        <v>1</v>
      </c>
      <c r="C285" s="3">
        <v>3</v>
      </c>
      <c r="D285" s="2">
        <v>3.6404000000000001</v>
      </c>
      <c r="E285" s="2">
        <f>TabelaFrecheirinha[[#This Row],[Qtde]]*TabelaFrecheirinha[[#This Row],[Vl. Unitário]]</f>
        <v>10.921200000000001</v>
      </c>
      <c r="F285" s="7" t="str">
        <f>VLOOKUP(TabelaFrecheirinha[[#This Row],[Código+Produto]],Base!A:C,3,0)</f>
        <v>prep massa fettuccine</v>
      </c>
      <c r="G285" s="8" t="str">
        <f>VLOOKUP(A285,Base!A:D,4,0)</f>
        <v>PRE PREPARO COZINHA</v>
      </c>
    </row>
    <row r="286" spans="1:7" x14ac:dyDescent="0.25">
      <c r="A286" s="1" t="s">
        <v>40</v>
      </c>
      <c r="B286" s="1" t="s">
        <v>1</v>
      </c>
      <c r="C286" s="3">
        <v>3.4</v>
      </c>
      <c r="D286" s="2">
        <v>3.6606000000000001</v>
      </c>
      <c r="E286" s="2">
        <f>TabelaFrecheirinha[[#This Row],[Qtde]]*TabelaFrecheirinha[[#This Row],[Vl. Unitário]]</f>
        <v>12.44604</v>
      </c>
      <c r="F286" s="7" t="str">
        <f>VLOOKUP(TabelaFrecheirinha[[#This Row],[Código+Produto]],Base!A:C,3,0)</f>
        <v>prep massa fettuccine</v>
      </c>
      <c r="G286" s="8" t="str">
        <f>VLOOKUP(A286,Base!A:D,4,0)</f>
        <v>PRE PREPARO COZINHA</v>
      </c>
    </row>
    <row r="287" spans="1:7" x14ac:dyDescent="0.25">
      <c r="A287" s="1" t="s">
        <v>40</v>
      </c>
      <c r="B287" s="1" t="s">
        <v>1</v>
      </c>
      <c r="C287" s="3">
        <v>2.78</v>
      </c>
      <c r="D287" s="2">
        <v>3.6606000000000001</v>
      </c>
      <c r="E287" s="2">
        <f>TabelaFrecheirinha[[#This Row],[Qtde]]*TabelaFrecheirinha[[#This Row],[Vl. Unitário]]</f>
        <v>10.176468</v>
      </c>
      <c r="F287" s="7" t="str">
        <f>VLOOKUP(TabelaFrecheirinha[[#This Row],[Código+Produto]],Base!A:C,3,0)</f>
        <v>prep massa fettuccine</v>
      </c>
      <c r="G287" s="8" t="str">
        <f>VLOOKUP(A287,Base!A:D,4,0)</f>
        <v>PRE PREPARO COZINHA</v>
      </c>
    </row>
    <row r="288" spans="1:7" x14ac:dyDescent="0.25">
      <c r="A288" s="1" t="s">
        <v>1213</v>
      </c>
      <c r="B288" s="1" t="s">
        <v>14</v>
      </c>
      <c r="C288" s="3">
        <v>96</v>
      </c>
      <c r="D288" s="2">
        <v>6.4583000000000004</v>
      </c>
      <c r="E288" s="2">
        <f>TabelaFrecheirinha[[#This Row],[Qtde]]*TabelaFrecheirinha[[#This Row],[Vl. Unitário]]</f>
        <v>619.99680000000001</v>
      </c>
      <c r="F288" s="7" t="str">
        <f>VLOOKUP(TabelaFrecheirinha[[#This Row],[Código+Produto]],Base!A:C,3,0)</f>
        <v>HEINEKEN LN 330ML</v>
      </c>
      <c r="G288" s="8" t="str">
        <f>VLOOKUP(A288,Base!A:D,4,0)</f>
        <v>CERVEJAS</v>
      </c>
    </row>
    <row r="289" spans="1:7" x14ac:dyDescent="0.25">
      <c r="A289" s="1" t="s">
        <v>28</v>
      </c>
      <c r="B289" s="1" t="s">
        <v>6</v>
      </c>
      <c r="C289" s="3">
        <v>8</v>
      </c>
      <c r="D289" s="2">
        <v>6.4570999999999996</v>
      </c>
      <c r="E289" s="2">
        <f>TabelaFrecheirinha[[#This Row],[Qtde]]*TabelaFrecheirinha[[#This Row],[Vl. Unitário]]</f>
        <v>51.656799999999997</v>
      </c>
      <c r="F289" s="7" t="str">
        <f>VLOOKUP(TabelaFrecheirinha[[#This Row],[Código+Produto]],Base!A:C,3,0)</f>
        <v>prep molho madeira</v>
      </c>
      <c r="G289" s="8" t="str">
        <f>VLOOKUP(A289,Base!A:D,4,0)</f>
        <v>PRE PREPARO COZINHA</v>
      </c>
    </row>
    <row r="290" spans="1:7" x14ac:dyDescent="0.25">
      <c r="A290" s="1" t="s">
        <v>28</v>
      </c>
      <c r="B290" s="1" t="s">
        <v>6</v>
      </c>
      <c r="C290" s="3">
        <v>5</v>
      </c>
      <c r="D290" s="2">
        <v>6.4602000000000004</v>
      </c>
      <c r="E290" s="2">
        <f>TabelaFrecheirinha[[#This Row],[Qtde]]*TabelaFrecheirinha[[#This Row],[Vl. Unitário]]</f>
        <v>32.301000000000002</v>
      </c>
      <c r="F290" s="7" t="str">
        <f>VLOOKUP(TabelaFrecheirinha[[#This Row],[Código+Produto]],Base!A:C,3,0)</f>
        <v>prep molho madeira</v>
      </c>
      <c r="G290" s="8" t="str">
        <f>VLOOKUP(A290,Base!A:D,4,0)</f>
        <v>PRE PREPARO COZINHA</v>
      </c>
    </row>
    <row r="291" spans="1:7" x14ac:dyDescent="0.25">
      <c r="A291" s="1" t="s">
        <v>28</v>
      </c>
      <c r="B291" s="1" t="s">
        <v>6</v>
      </c>
      <c r="C291" s="3">
        <v>7.5</v>
      </c>
      <c r="D291" s="2">
        <v>6.4505999999999997</v>
      </c>
      <c r="E291" s="2">
        <f>TabelaFrecheirinha[[#This Row],[Qtde]]*TabelaFrecheirinha[[#This Row],[Vl. Unitário]]</f>
        <v>48.3795</v>
      </c>
      <c r="F291" s="7" t="str">
        <f>VLOOKUP(TabelaFrecheirinha[[#This Row],[Código+Produto]],Base!A:C,3,0)</f>
        <v>prep molho madeira</v>
      </c>
      <c r="G291" s="8" t="str">
        <f>VLOOKUP(A291,Base!A:D,4,0)</f>
        <v>PRE PREPARO COZINHA</v>
      </c>
    </row>
    <row r="292" spans="1:7" x14ac:dyDescent="0.25">
      <c r="A292" s="1" t="s">
        <v>28</v>
      </c>
      <c r="B292" s="1" t="s">
        <v>6</v>
      </c>
      <c r="C292" s="3">
        <v>4</v>
      </c>
      <c r="D292" s="2">
        <v>6.4505999999999997</v>
      </c>
      <c r="E292" s="2">
        <f>TabelaFrecheirinha[[#This Row],[Qtde]]*TabelaFrecheirinha[[#This Row],[Vl. Unitário]]</f>
        <v>25.802399999999999</v>
      </c>
      <c r="F292" s="40" t="str">
        <f>VLOOKUP(TabelaFrecheirinha[[#This Row],[Código+Produto]],Base!A:C,3,0)</f>
        <v>prep molho madeira</v>
      </c>
      <c r="G292" s="8" t="str">
        <f>VLOOKUP(A292,Base!A:D,4,0)</f>
        <v>PRE PREPARO COZINHA</v>
      </c>
    </row>
    <row r="293" spans="1:7" x14ac:dyDescent="0.25">
      <c r="A293" s="1" t="s">
        <v>28</v>
      </c>
      <c r="B293" s="1" t="s">
        <v>6</v>
      </c>
      <c r="C293" s="3">
        <v>6</v>
      </c>
      <c r="D293" s="2">
        <v>6.4505999999999997</v>
      </c>
      <c r="E293" s="2">
        <f>TabelaFrecheirinha[[#This Row],[Qtde]]*TabelaFrecheirinha[[#This Row],[Vl. Unitário]]</f>
        <v>38.703599999999994</v>
      </c>
      <c r="F293" s="40" t="str">
        <f>VLOOKUP(TabelaFrecheirinha[[#This Row],[Código+Produto]],Base!A:C,3,0)</f>
        <v>prep molho madeira</v>
      </c>
      <c r="G293" s="8" t="str">
        <f>VLOOKUP(A293,Base!A:D,4,0)</f>
        <v>PRE PREPARO COZINHA</v>
      </c>
    </row>
    <row r="294" spans="1:7" x14ac:dyDescent="0.25">
      <c r="A294" s="1" t="s">
        <v>1206</v>
      </c>
      <c r="B294" s="1" t="s">
        <v>6</v>
      </c>
      <c r="C294" s="3">
        <v>10</v>
      </c>
      <c r="D294" s="2">
        <v>4</v>
      </c>
      <c r="E294" s="2">
        <f>TabelaFrecheirinha[[#This Row],[Qtde]]*TabelaFrecheirinha[[#This Row],[Vl. Unitário]]</f>
        <v>40</v>
      </c>
      <c r="F294" s="40" t="str">
        <f>VLOOKUP(TabelaFrecheirinha[[#This Row],[Código+Produto]],Base!A:C,3,0)</f>
        <v>prep oleo de porco</v>
      </c>
      <c r="G294" s="8" t="str">
        <f>VLOOKUP(A294,Base!A:D,4,0)</f>
        <v>PRE PREPARO COZINHA</v>
      </c>
    </row>
    <row r="295" spans="1:7" x14ac:dyDescent="0.25">
      <c r="A295" s="1" t="s">
        <v>8</v>
      </c>
      <c r="B295" s="1" t="s">
        <v>1</v>
      </c>
      <c r="C295" s="3">
        <v>18.600000000000001</v>
      </c>
      <c r="D295" s="2">
        <v>17</v>
      </c>
      <c r="E295" s="2">
        <f>TabelaFrecheirinha[[#This Row],[Qtde]]*TabelaFrecheirinha[[#This Row],[Vl. Unitário]]</f>
        <v>316.20000000000005</v>
      </c>
      <c r="F295" s="7" t="str">
        <f>VLOOKUP(TabelaFrecheirinha[[#This Row],[Código+Produto]],Base!A:C,3,0)</f>
        <v>tilapia limpa mp</v>
      </c>
      <c r="G295" s="8" t="str">
        <f>VLOOKUP(A295,Base!A:D,4,0)</f>
        <v>PEIXES E FRUTOS DO MAR</v>
      </c>
    </row>
    <row r="296" spans="1:7" x14ac:dyDescent="0.25">
      <c r="A296" s="1" t="s">
        <v>8</v>
      </c>
      <c r="B296" s="1" t="s">
        <v>1</v>
      </c>
      <c r="C296" s="3">
        <v>16.350000000000001</v>
      </c>
      <c r="D296" s="2">
        <v>17</v>
      </c>
      <c r="E296" s="2">
        <f>TabelaFrecheirinha[[#This Row],[Qtde]]*TabelaFrecheirinha[[#This Row],[Vl. Unitário]]</f>
        <v>277.95000000000005</v>
      </c>
      <c r="F296" s="7" t="str">
        <f>VLOOKUP(TabelaFrecheirinha[[#This Row],[Código+Produto]],Base!A:C,3,0)</f>
        <v>tilapia limpa mp</v>
      </c>
      <c r="G296" s="8" t="str">
        <f>VLOOKUP(A296,Base!A:D,4,0)</f>
        <v>PEIXES E FRUTOS DO MAR</v>
      </c>
    </row>
    <row r="297" spans="1:7" x14ac:dyDescent="0.25">
      <c r="A297" s="1" t="s">
        <v>8</v>
      </c>
      <c r="B297" s="1" t="s">
        <v>1</v>
      </c>
      <c r="C297" s="3">
        <v>19.649999999999999</v>
      </c>
      <c r="D297" s="2">
        <v>17</v>
      </c>
      <c r="E297" s="2">
        <f>TabelaFrecheirinha[[#This Row],[Qtde]]*TabelaFrecheirinha[[#This Row],[Vl. Unitário]]</f>
        <v>334.04999999999995</v>
      </c>
      <c r="F297" s="7" t="str">
        <f>VLOOKUP(TabelaFrecheirinha[[#This Row],[Código+Produto]],Base!A:C,3,0)</f>
        <v>tilapia limpa mp</v>
      </c>
      <c r="G297" s="8" t="str">
        <f>VLOOKUP(A297,Base!A:D,4,0)</f>
        <v>PEIXES E FRUTOS DO MAR</v>
      </c>
    </row>
    <row r="298" spans="1:7" x14ac:dyDescent="0.25">
      <c r="A298" s="1" t="s">
        <v>8</v>
      </c>
      <c r="B298" s="1" t="s">
        <v>1</v>
      </c>
      <c r="C298" s="3">
        <v>18</v>
      </c>
      <c r="D298" s="2">
        <v>17</v>
      </c>
      <c r="E298" s="2">
        <f>TabelaFrecheirinha[[#This Row],[Qtde]]*TabelaFrecheirinha[[#This Row],[Vl. Unitário]]</f>
        <v>306</v>
      </c>
      <c r="F298" s="7" t="str">
        <f>VLOOKUP(TabelaFrecheirinha[[#This Row],[Código+Produto]],Base!A:C,3,0)</f>
        <v>tilapia limpa mp</v>
      </c>
      <c r="G298" s="8" t="str">
        <f>VLOOKUP(A298,Base!A:D,4,0)</f>
        <v>PEIXES E FRUTOS DO MAR</v>
      </c>
    </row>
    <row r="299" spans="1:7" x14ac:dyDescent="0.25">
      <c r="A299" s="1" t="s">
        <v>8</v>
      </c>
      <c r="B299" s="1" t="s">
        <v>1</v>
      </c>
      <c r="C299" s="3">
        <v>18</v>
      </c>
      <c r="D299" s="2">
        <v>17</v>
      </c>
      <c r="E299" s="2">
        <f>TabelaFrecheirinha[[#This Row],[Qtde]]*TabelaFrecheirinha[[#This Row],[Vl. Unitário]]</f>
        <v>306</v>
      </c>
      <c r="F299" s="7" t="str">
        <f>VLOOKUP(TabelaFrecheirinha[[#This Row],[Código+Produto]],Base!A:C,3,0)</f>
        <v>tilapia limpa mp</v>
      </c>
      <c r="G299" s="8" t="str">
        <f>VLOOKUP(A299,Base!A:D,4,0)</f>
        <v>PEIXES E FRUTOS DO MAR</v>
      </c>
    </row>
    <row r="300" spans="1:7" x14ac:dyDescent="0.25">
      <c r="A300" s="1" t="s">
        <v>8</v>
      </c>
      <c r="B300" s="1" t="s">
        <v>1</v>
      </c>
      <c r="C300" s="3">
        <v>19</v>
      </c>
      <c r="D300" s="2">
        <v>17</v>
      </c>
      <c r="E300" s="2">
        <f>TabelaFrecheirinha[[#This Row],[Qtde]]*TabelaFrecheirinha[[#This Row],[Vl. Unitário]]</f>
        <v>323</v>
      </c>
      <c r="F300" s="7" t="str">
        <f>VLOOKUP(TabelaFrecheirinha[[#This Row],[Código+Produto]],Base!A:C,3,0)</f>
        <v>tilapia limpa mp</v>
      </c>
      <c r="G300" s="8" t="str">
        <f>VLOOKUP(A300,Base!A:D,4,0)</f>
        <v>PEIXES E FRUTOS DO MAR</v>
      </c>
    </row>
    <row r="301" spans="1:7" x14ac:dyDescent="0.25">
      <c r="A301" s="1" t="s">
        <v>8</v>
      </c>
      <c r="B301" s="1" t="s">
        <v>1</v>
      </c>
      <c r="C301" s="3">
        <v>24.65</v>
      </c>
      <c r="D301" s="2">
        <v>17</v>
      </c>
      <c r="E301" s="2">
        <f>TabelaFrecheirinha[[#This Row],[Qtde]]*TabelaFrecheirinha[[#This Row],[Vl. Unitário]]</f>
        <v>419.04999999999995</v>
      </c>
      <c r="F301" s="7" t="str">
        <f>VLOOKUP(TabelaFrecheirinha[[#This Row],[Código+Produto]],Base!A:C,3,0)</f>
        <v>tilapia limpa mp</v>
      </c>
      <c r="G301" s="8" t="str">
        <f>VLOOKUP(A301,Base!A:D,4,0)</f>
        <v>PEIXES E FRUTOS DO MAR</v>
      </c>
    </row>
    <row r="302" spans="1:7" x14ac:dyDescent="0.25">
      <c r="A302" s="1" t="s">
        <v>8</v>
      </c>
      <c r="B302" s="1" t="s">
        <v>1</v>
      </c>
      <c r="C302" s="3">
        <v>18</v>
      </c>
      <c r="D302" s="2">
        <v>17</v>
      </c>
      <c r="E302" s="2">
        <f>TabelaFrecheirinha[[#This Row],[Qtde]]*TabelaFrecheirinha[[#This Row],[Vl. Unitário]]</f>
        <v>306</v>
      </c>
      <c r="F302" s="7" t="str">
        <f>VLOOKUP(TabelaFrecheirinha[[#This Row],[Código+Produto]],Base!A:C,3,0)</f>
        <v>tilapia limpa mp</v>
      </c>
      <c r="G302" s="8" t="str">
        <f>VLOOKUP(A302,Base!A:D,4,0)</f>
        <v>PEIXES E FRUTOS DO MAR</v>
      </c>
    </row>
    <row r="303" spans="1:7" x14ac:dyDescent="0.25">
      <c r="A303" s="1" t="s">
        <v>8</v>
      </c>
      <c r="B303" s="1" t="s">
        <v>1</v>
      </c>
      <c r="C303" s="3">
        <v>20.6</v>
      </c>
      <c r="D303" s="2">
        <v>17</v>
      </c>
      <c r="E303" s="2">
        <f>TabelaFrecheirinha[[#This Row],[Qtde]]*TabelaFrecheirinha[[#This Row],[Vl. Unitário]]</f>
        <v>350.20000000000005</v>
      </c>
      <c r="F303" s="7" t="str">
        <f>VLOOKUP(TabelaFrecheirinha[[#This Row],[Código+Produto]],Base!A:C,3,0)</f>
        <v>tilapia limpa mp</v>
      </c>
      <c r="G303" s="8" t="str">
        <f>VLOOKUP(A303,Base!A:D,4,0)</f>
        <v>PEIXES E FRUTOS DO MAR</v>
      </c>
    </row>
    <row r="304" spans="1:7" x14ac:dyDescent="0.25">
      <c r="A304" s="1" t="s">
        <v>8</v>
      </c>
      <c r="B304" s="1" t="s">
        <v>1</v>
      </c>
      <c r="C304" s="3">
        <v>16</v>
      </c>
      <c r="D304" s="2">
        <v>17</v>
      </c>
      <c r="E304" s="2">
        <f>TabelaFrecheirinha[[#This Row],[Qtde]]*TabelaFrecheirinha[[#This Row],[Vl. Unitário]]</f>
        <v>272</v>
      </c>
      <c r="F304" s="7" t="str">
        <f>VLOOKUP(TabelaFrecheirinha[[#This Row],[Código+Produto]],Base!A:C,3,0)</f>
        <v>tilapia limpa mp</v>
      </c>
      <c r="G304" s="8" t="str">
        <f>VLOOKUP(A304,Base!A:D,4,0)</f>
        <v>PEIXES E FRUTOS DO MAR</v>
      </c>
    </row>
    <row r="305" spans="1:7" x14ac:dyDescent="0.25">
      <c r="A305" s="1" t="s">
        <v>8</v>
      </c>
      <c r="B305" s="1" t="s">
        <v>1</v>
      </c>
      <c r="C305" s="3">
        <v>18.350000000000001</v>
      </c>
      <c r="D305" s="2">
        <v>17</v>
      </c>
      <c r="E305" s="2">
        <f>TabelaFrecheirinha[[#This Row],[Qtde]]*TabelaFrecheirinha[[#This Row],[Vl. Unitário]]</f>
        <v>311.95000000000005</v>
      </c>
      <c r="F305" s="7" t="str">
        <f>VLOOKUP(TabelaFrecheirinha[[#This Row],[Código+Produto]],Base!A:C,3,0)</f>
        <v>tilapia limpa mp</v>
      </c>
      <c r="G305" s="8" t="str">
        <f>VLOOKUP(A305,Base!A:D,4,0)</f>
        <v>PEIXES E FRUTOS DO MAR</v>
      </c>
    </row>
    <row r="306" spans="1:7" x14ac:dyDescent="0.25">
      <c r="A306" s="1" t="s">
        <v>8</v>
      </c>
      <c r="B306" s="1" t="s">
        <v>1</v>
      </c>
      <c r="C306" s="3">
        <v>19</v>
      </c>
      <c r="D306" s="2">
        <v>17</v>
      </c>
      <c r="E306" s="2">
        <f>TabelaFrecheirinha[[#This Row],[Qtde]]*TabelaFrecheirinha[[#This Row],[Vl. Unitário]]</f>
        <v>323</v>
      </c>
      <c r="F306" s="7" t="str">
        <f>VLOOKUP(TabelaFrecheirinha[[#This Row],[Código+Produto]],Base!A:C,3,0)</f>
        <v>tilapia limpa mp</v>
      </c>
      <c r="G306" s="8" t="str">
        <f>VLOOKUP(A306,Base!A:D,4,0)</f>
        <v>PEIXES E FRUTOS DO MAR</v>
      </c>
    </row>
    <row r="307" spans="1:7" x14ac:dyDescent="0.25">
      <c r="A307" s="1" t="s">
        <v>8</v>
      </c>
      <c r="B307" s="1" t="s">
        <v>1</v>
      </c>
      <c r="C307" s="3">
        <v>18</v>
      </c>
      <c r="D307" s="2">
        <v>17</v>
      </c>
      <c r="E307" s="2">
        <f>TabelaFrecheirinha[[#This Row],[Qtde]]*TabelaFrecheirinha[[#This Row],[Vl. Unitário]]</f>
        <v>306</v>
      </c>
      <c r="F307" s="7" t="str">
        <f>VLOOKUP(TabelaFrecheirinha[[#This Row],[Código+Produto]],Base!A:C,3,0)</f>
        <v>tilapia limpa mp</v>
      </c>
      <c r="G307" s="8" t="str">
        <f>VLOOKUP(A307,Base!A:D,4,0)</f>
        <v>PEIXES E FRUTOS DO MAR</v>
      </c>
    </row>
    <row r="308" spans="1:7" x14ac:dyDescent="0.25">
      <c r="A308" s="1" t="s">
        <v>8</v>
      </c>
      <c r="B308" s="1" t="s">
        <v>1</v>
      </c>
      <c r="C308" s="3">
        <v>22.3</v>
      </c>
      <c r="D308" s="2">
        <v>17</v>
      </c>
      <c r="E308" s="2">
        <f>TabelaFrecheirinha[[#This Row],[Qtde]]*TabelaFrecheirinha[[#This Row],[Vl. Unitário]]</f>
        <v>379.1</v>
      </c>
      <c r="F308" s="7" t="str">
        <f>VLOOKUP(TabelaFrecheirinha[[#This Row],[Código+Produto]],Base!A:C,3,0)</f>
        <v>tilapia limpa mp</v>
      </c>
      <c r="G308" s="8" t="str">
        <f>VLOOKUP(A308,Base!A:D,4,0)</f>
        <v>PEIXES E FRUTOS DO MAR</v>
      </c>
    </row>
    <row r="309" spans="1:7" x14ac:dyDescent="0.25">
      <c r="A309" s="1" t="s">
        <v>8</v>
      </c>
      <c r="B309" s="1" t="s">
        <v>1</v>
      </c>
      <c r="C309" s="3">
        <v>22.75</v>
      </c>
      <c r="D309" s="2">
        <v>17</v>
      </c>
      <c r="E309" s="2">
        <f>TabelaFrecheirinha[[#This Row],[Qtde]]*TabelaFrecheirinha[[#This Row],[Vl. Unitário]]</f>
        <v>386.75</v>
      </c>
      <c r="F309" s="7" t="str">
        <f>VLOOKUP(TabelaFrecheirinha[[#This Row],[Código+Produto]],Base!A:C,3,0)</f>
        <v>tilapia limpa mp</v>
      </c>
      <c r="G309" s="8" t="str">
        <f>VLOOKUP(A309,Base!A:D,4,0)</f>
        <v>PEIXES E FRUTOS DO MAR</v>
      </c>
    </row>
    <row r="310" spans="1:7" x14ac:dyDescent="0.25">
      <c r="A310" s="1" t="s">
        <v>8</v>
      </c>
      <c r="B310" s="1" t="s">
        <v>1</v>
      </c>
      <c r="C310" s="3">
        <v>26</v>
      </c>
      <c r="D310" s="2">
        <v>17</v>
      </c>
      <c r="E310" s="2">
        <f>TabelaFrecheirinha[[#This Row],[Qtde]]*TabelaFrecheirinha[[#This Row],[Vl. Unitário]]</f>
        <v>442</v>
      </c>
      <c r="F310" s="40" t="str">
        <f>VLOOKUP(TabelaFrecheirinha[[#This Row],[Código+Produto]],Base!A:C,3,0)</f>
        <v>tilapia limpa mp</v>
      </c>
      <c r="G310" s="8" t="str">
        <f>VLOOKUP(A310,Base!A:D,4,0)</f>
        <v>PEIXES E FRUTOS DO MAR</v>
      </c>
    </row>
    <row r="311" spans="1:7" x14ac:dyDescent="0.25">
      <c r="A311" s="1" t="s">
        <v>8</v>
      </c>
      <c r="B311" s="1" t="s">
        <v>1</v>
      </c>
      <c r="C311" s="3">
        <v>28</v>
      </c>
      <c r="D311" s="2">
        <v>17</v>
      </c>
      <c r="E311" s="2">
        <f>TabelaFrecheirinha[[#This Row],[Qtde]]*TabelaFrecheirinha[[#This Row],[Vl. Unitário]]</f>
        <v>476</v>
      </c>
      <c r="F311" s="40" t="str">
        <f>VLOOKUP(TabelaFrecheirinha[[#This Row],[Código+Produto]],Base!A:C,3,0)</f>
        <v>tilapia limpa mp</v>
      </c>
      <c r="G311" s="8" t="str">
        <f>VLOOKUP(A311,Base!A:D,4,0)</f>
        <v>PEIXES E FRUTOS DO MAR</v>
      </c>
    </row>
    <row r="312" spans="1:7" x14ac:dyDescent="0.25">
      <c r="A312" s="1" t="s">
        <v>8</v>
      </c>
      <c r="B312" s="1" t="s">
        <v>1</v>
      </c>
      <c r="C312" s="3">
        <v>11.8</v>
      </c>
      <c r="D312" s="2">
        <v>17</v>
      </c>
      <c r="E312" s="2">
        <f>TabelaFrecheirinha[[#This Row],[Qtde]]*TabelaFrecheirinha[[#This Row],[Vl. Unitário]]</f>
        <v>200.60000000000002</v>
      </c>
      <c r="F312" s="40" t="str">
        <f>VLOOKUP(TabelaFrecheirinha[[#This Row],[Código+Produto]],Base!A:C,3,0)</f>
        <v>tilapia limpa mp</v>
      </c>
      <c r="G312" s="8" t="str">
        <f>VLOOKUP(A312,Base!A:D,4,0)</f>
        <v>PEIXES E FRUTOS DO MAR</v>
      </c>
    </row>
    <row r="313" spans="1:7" x14ac:dyDescent="0.25">
      <c r="A313" s="1" t="s">
        <v>8</v>
      </c>
      <c r="B313" s="1" t="s">
        <v>1</v>
      </c>
      <c r="C313" s="3">
        <v>15.5</v>
      </c>
      <c r="D313" s="2">
        <v>17</v>
      </c>
      <c r="E313" s="2">
        <f>TabelaFrecheirinha[[#This Row],[Qtde]]*TabelaFrecheirinha[[#This Row],[Vl. Unitário]]</f>
        <v>263.5</v>
      </c>
      <c r="F313" s="40" t="str">
        <f>VLOOKUP(TabelaFrecheirinha[[#This Row],[Código+Produto]],Base!A:C,3,0)</f>
        <v>tilapia limpa mp</v>
      </c>
      <c r="G313" s="8" t="str">
        <f>VLOOKUP(A313,Base!A:D,4,0)</f>
        <v>PEIXES E FRUTOS DO MAR</v>
      </c>
    </row>
    <row r="314" spans="1:7" x14ac:dyDescent="0.25">
      <c r="A314" s="1" t="s">
        <v>1207</v>
      </c>
      <c r="B314" s="1" t="s">
        <v>6</v>
      </c>
      <c r="C314" s="3">
        <v>12</v>
      </c>
      <c r="D314" s="2">
        <v>1.54</v>
      </c>
      <c r="E314" s="2">
        <f>TabelaFrecheirinha[[#This Row],[Qtde]]*TabelaFrecheirinha[[#This Row],[Vl. Unitário]]</f>
        <v>18.48</v>
      </c>
      <c r="F314" s="7" t="str">
        <f>VLOOKUP(TabelaFrecheirinha[[#This Row],[Código+Produto]],Base!A:C,3,0)</f>
        <v>agua sanitaria</v>
      </c>
      <c r="G314" s="8" t="str">
        <f>VLOOKUP(A314,Base!A:D,4,0)</f>
        <v>MATERIAIS DE LIMPEZA</v>
      </c>
    </row>
    <row r="315" spans="1:7" x14ac:dyDescent="0.25">
      <c r="A315" s="1" t="s">
        <v>9</v>
      </c>
      <c r="B315" s="1" t="s">
        <v>10</v>
      </c>
      <c r="C315" s="3">
        <v>24</v>
      </c>
      <c r="D315" s="2">
        <v>2.06</v>
      </c>
      <c r="E315" s="2">
        <f>TabelaFrecheirinha[[#This Row],[Qtde]]*TabelaFrecheirinha[[#This Row],[Vl. Unitário]]</f>
        <v>49.44</v>
      </c>
      <c r="F315" s="7" t="str">
        <f>VLOOKUP(TabelaFrecheirinha[[#This Row],[Código+Produto]],Base!A:C,3,0)</f>
        <v>detergente liquido</v>
      </c>
      <c r="G315" s="8" t="str">
        <f>VLOOKUP(A315,Base!A:D,4,0)</f>
        <v>MATERIAIS DE LIMPEZA</v>
      </c>
    </row>
    <row r="316" spans="1:7" x14ac:dyDescent="0.25">
      <c r="A316" s="1" t="s">
        <v>18</v>
      </c>
      <c r="B316" s="1" t="s">
        <v>1</v>
      </c>
      <c r="C316" s="3">
        <v>6</v>
      </c>
      <c r="D316" s="2">
        <v>6</v>
      </c>
      <c r="E316" s="2">
        <f>TabelaFrecheirinha[[#This Row],[Qtde]]*TabelaFrecheirinha[[#This Row],[Vl. Unitário]]</f>
        <v>36</v>
      </c>
      <c r="F316" s="7" t="str">
        <f>VLOOKUP(TabelaFrecheirinha[[#This Row],[Código+Produto]],Base!A:C,3,0)</f>
        <v>prep aipim limpo e cozido</v>
      </c>
      <c r="G316" s="8" t="str">
        <f>VLOOKUP(A316,Base!A:D,4,0)</f>
        <v>PRE PREPARO COZINHA</v>
      </c>
    </row>
    <row r="317" spans="1:7" x14ac:dyDescent="0.25">
      <c r="A317" s="1" t="s">
        <v>18</v>
      </c>
      <c r="B317" s="1" t="s">
        <v>1</v>
      </c>
      <c r="C317" s="3">
        <v>6.8</v>
      </c>
      <c r="D317" s="2">
        <v>4</v>
      </c>
      <c r="E317" s="2">
        <f>TabelaFrecheirinha[[#This Row],[Qtde]]*TabelaFrecheirinha[[#This Row],[Vl. Unitário]]</f>
        <v>27.2</v>
      </c>
      <c r="F317" s="7" t="str">
        <f>VLOOKUP(TabelaFrecheirinha[[#This Row],[Código+Produto]],Base!A:C,3,0)</f>
        <v>prep aipim limpo e cozido</v>
      </c>
      <c r="G317" s="8" t="str">
        <f>VLOOKUP(A317,Base!A:D,4,0)</f>
        <v>PRE PREPARO COZINHA</v>
      </c>
    </row>
    <row r="318" spans="1:7" x14ac:dyDescent="0.25">
      <c r="A318" s="1" t="s">
        <v>18</v>
      </c>
      <c r="B318" s="1" t="s">
        <v>1</v>
      </c>
      <c r="C318" s="3">
        <v>7</v>
      </c>
      <c r="D318" s="2">
        <v>4</v>
      </c>
      <c r="E318" s="2">
        <f>TabelaFrecheirinha[[#This Row],[Qtde]]*TabelaFrecheirinha[[#This Row],[Vl. Unitário]]</f>
        <v>28</v>
      </c>
      <c r="F318" s="7" t="str">
        <f>VLOOKUP(TabelaFrecheirinha[[#This Row],[Código+Produto]],Base!A:C,3,0)</f>
        <v>prep aipim limpo e cozido</v>
      </c>
      <c r="G318" s="8" t="str">
        <f>VLOOKUP(A318,Base!A:D,4,0)</f>
        <v>PRE PREPARO COZINHA</v>
      </c>
    </row>
    <row r="319" spans="1:7" x14ac:dyDescent="0.25">
      <c r="A319" s="1" t="s">
        <v>19</v>
      </c>
      <c r="B319" s="1" t="s">
        <v>1</v>
      </c>
      <c r="C319" s="3">
        <v>4.2</v>
      </c>
      <c r="D319" s="2">
        <v>9.2658000000000005</v>
      </c>
      <c r="E319" s="2">
        <f>TabelaFrecheirinha[[#This Row],[Qtde]]*TabelaFrecheirinha[[#This Row],[Vl. Unitário]]</f>
        <v>38.916360000000005</v>
      </c>
      <c r="F319" s="7" t="str">
        <f>VLOOKUP(TabelaFrecheirinha[[#This Row],[Código+Produto]],Base!A:C,3,0)</f>
        <v>prep brocolis limpo e cozido</v>
      </c>
      <c r="G319" s="8" t="str">
        <f>VLOOKUP(A319,Base!A:D,4,0)</f>
        <v>PRE PREPARO COZINHA</v>
      </c>
    </row>
    <row r="320" spans="1:7" x14ac:dyDescent="0.25">
      <c r="A320" s="1" t="s">
        <v>19</v>
      </c>
      <c r="B320" s="1" t="s">
        <v>1</v>
      </c>
      <c r="C320" s="3">
        <v>6.5</v>
      </c>
      <c r="D320" s="2">
        <v>9.2658000000000005</v>
      </c>
      <c r="E320" s="2">
        <f>TabelaFrecheirinha[[#This Row],[Qtde]]*TabelaFrecheirinha[[#This Row],[Vl. Unitário]]</f>
        <v>60.227700000000006</v>
      </c>
      <c r="F320" s="7" t="str">
        <f>VLOOKUP(TabelaFrecheirinha[[#This Row],[Código+Produto]],Base!A:C,3,0)</f>
        <v>prep brocolis limpo e cozido</v>
      </c>
      <c r="G320" s="8" t="str">
        <f>VLOOKUP(A320,Base!A:D,4,0)</f>
        <v>PRE PREPARO COZINHA</v>
      </c>
    </row>
    <row r="321" spans="1:7" x14ac:dyDescent="0.25">
      <c r="A321" s="1" t="s">
        <v>19</v>
      </c>
      <c r="B321" s="1" t="s">
        <v>1</v>
      </c>
      <c r="C321" s="3">
        <v>4.5</v>
      </c>
      <c r="D321" s="2">
        <v>9.2658000000000005</v>
      </c>
      <c r="E321" s="2">
        <f>TabelaFrecheirinha[[#This Row],[Qtde]]*TabelaFrecheirinha[[#This Row],[Vl. Unitário]]</f>
        <v>41.696100000000001</v>
      </c>
      <c r="F321" s="7" t="str">
        <f>VLOOKUP(TabelaFrecheirinha[[#This Row],[Código+Produto]],Base!A:C,3,0)</f>
        <v>prep brocolis limpo e cozido</v>
      </c>
      <c r="G321" s="8" t="str">
        <f>VLOOKUP(A321,Base!A:D,4,0)</f>
        <v>PRE PREPARO COZINHA</v>
      </c>
    </row>
    <row r="322" spans="1:7" x14ac:dyDescent="0.25">
      <c r="A322" s="1" t="s">
        <v>19</v>
      </c>
      <c r="B322" s="1" t="s">
        <v>1</v>
      </c>
      <c r="C322" s="3">
        <v>3.7</v>
      </c>
      <c r="D322" s="2">
        <v>9.2658000000000005</v>
      </c>
      <c r="E322" s="2">
        <f>TabelaFrecheirinha[[#This Row],[Qtde]]*TabelaFrecheirinha[[#This Row],[Vl. Unitário]]</f>
        <v>34.283460000000005</v>
      </c>
      <c r="F322" s="7" t="str">
        <f>VLOOKUP(TabelaFrecheirinha[[#This Row],[Código+Produto]],Base!A:C,3,0)</f>
        <v>prep brocolis limpo e cozido</v>
      </c>
      <c r="G322" s="8" t="str">
        <f>VLOOKUP(A322,Base!A:D,4,0)</f>
        <v>PRE PREPARO COZINHA</v>
      </c>
    </row>
    <row r="323" spans="1:7" x14ac:dyDescent="0.25">
      <c r="A323" s="1" t="s">
        <v>1232</v>
      </c>
      <c r="B323" s="1" t="s">
        <v>6</v>
      </c>
      <c r="C323" s="3">
        <v>2</v>
      </c>
      <c r="D323" s="2">
        <v>58.333300000000001</v>
      </c>
      <c r="E323" s="2">
        <f>TabelaFrecheirinha[[#This Row],[Qtde]]*TabelaFrecheirinha[[#This Row],[Vl. Unitário]]</f>
        <v>116.6666</v>
      </c>
      <c r="F323" s="7" t="str">
        <f>VLOOKUP(TabelaFrecheirinha[[#This Row],[Código+Produto]],Base!A:C,3,0)</f>
        <v>aperitivo campari mp</v>
      </c>
      <c r="G323" s="8" t="str">
        <f>VLOOKUP(A323,Base!A:D,4,0)</f>
        <v>APERITIVAS</v>
      </c>
    </row>
    <row r="324" spans="1:7" x14ac:dyDescent="0.25">
      <c r="A324" s="1" t="s">
        <v>1232</v>
      </c>
      <c r="B324" s="1" t="s">
        <v>6</v>
      </c>
      <c r="C324" s="3">
        <v>1</v>
      </c>
      <c r="D324" s="2">
        <v>58.333300000000001</v>
      </c>
      <c r="E324" s="2">
        <f>TabelaFrecheirinha[[#This Row],[Qtde]]*TabelaFrecheirinha[[#This Row],[Vl. Unitário]]</f>
        <v>58.333300000000001</v>
      </c>
      <c r="F324" s="7" t="str">
        <f>VLOOKUP(TabelaFrecheirinha[[#This Row],[Código+Produto]],Base!A:C,3,0)</f>
        <v>aperitivo campari mp</v>
      </c>
      <c r="G324" s="8" t="str">
        <f>VLOOKUP(A324,Base!A:D,4,0)</f>
        <v>APERITIVAS</v>
      </c>
    </row>
    <row r="325" spans="1:7" x14ac:dyDescent="0.25">
      <c r="A325" s="1" t="s">
        <v>1232</v>
      </c>
      <c r="B325" s="1" t="s">
        <v>6</v>
      </c>
      <c r="C325" s="3">
        <v>2</v>
      </c>
      <c r="D325" s="2">
        <v>58.333300000000001</v>
      </c>
      <c r="E325" s="2">
        <f>TabelaFrecheirinha[[#This Row],[Qtde]]*TabelaFrecheirinha[[#This Row],[Vl. Unitário]]</f>
        <v>116.6666</v>
      </c>
      <c r="F325" s="40" t="str">
        <f>VLOOKUP(TabelaFrecheirinha[[#This Row],[Código+Produto]],Base!A:C,3,0)</f>
        <v>aperitivo campari mp</v>
      </c>
      <c r="G325" s="8" t="str">
        <f>VLOOKUP(A325,Base!A:D,4,0)</f>
        <v>APERITIVAS</v>
      </c>
    </row>
    <row r="326" spans="1:7" x14ac:dyDescent="0.25">
      <c r="A326" s="1" t="s">
        <v>1232</v>
      </c>
      <c r="B326" s="1" t="s">
        <v>1233</v>
      </c>
      <c r="C326" s="3">
        <v>2</v>
      </c>
      <c r="D326" s="2">
        <v>58.2166</v>
      </c>
      <c r="E326" s="2">
        <f>TabelaFrecheirinha[[#This Row],[Qtde]]*TabelaFrecheirinha[[#This Row],[Vl. Unitário]]</f>
        <v>116.4332</v>
      </c>
      <c r="F326" s="40" t="str">
        <f>VLOOKUP(TabelaFrecheirinha[[#This Row],[Código+Produto]],Base!A:C,3,0)</f>
        <v>aperitivo campari mp</v>
      </c>
      <c r="G326" s="8" t="str">
        <f>VLOOKUP(A326,Base!A:D,4,0)</f>
        <v>APERITIVAS</v>
      </c>
    </row>
    <row r="327" spans="1:7" x14ac:dyDescent="0.25">
      <c r="A327" s="1" t="s">
        <v>1250</v>
      </c>
      <c r="B327" s="1" t="s">
        <v>1241</v>
      </c>
      <c r="C327" s="3">
        <v>1</v>
      </c>
      <c r="D327" s="2">
        <v>37.316600000000001</v>
      </c>
      <c r="E327" s="2">
        <f>TabelaFrecheirinha[[#This Row],[Qtde]]*TabelaFrecheirinha[[#This Row],[Vl. Unitário]]</f>
        <v>37.316600000000001</v>
      </c>
      <c r="F327" s="7" t="str">
        <f>VLOOKUP(TabelaFrecheirinha[[#This Row],[Código+Produto]],Base!A:C,3,0)</f>
        <v>cachaca ypioca empalhada mp</v>
      </c>
      <c r="G327" s="8" t="str">
        <f>VLOOKUP(A327,Base!A:D,4,0)</f>
        <v>CACHACAS</v>
      </c>
    </row>
    <row r="328" spans="1:7" x14ac:dyDescent="0.25">
      <c r="A328" s="1" t="s">
        <v>1240</v>
      </c>
      <c r="B328" s="1" t="s">
        <v>1241</v>
      </c>
      <c r="C328" s="3">
        <v>1</v>
      </c>
      <c r="D328" s="2">
        <v>16.405000000000001</v>
      </c>
      <c r="E328" s="2">
        <f>TabelaFrecheirinha[[#This Row],[Qtde]]*TabelaFrecheirinha[[#This Row],[Vl. Unitário]]</f>
        <v>16.405000000000001</v>
      </c>
      <c r="F328" s="7" t="str">
        <f>VLOOKUP(TabelaFrecheirinha[[#This Row],[Código+Produto]],Base!A:C,3,0)</f>
        <v>cachaca ypioca ouro mp</v>
      </c>
      <c r="G328" s="8" t="str">
        <f>VLOOKUP(A328,Base!A:D,4,0)</f>
        <v>CACHACAS</v>
      </c>
    </row>
    <row r="329" spans="1:7" x14ac:dyDescent="0.25">
      <c r="A329" s="1" t="s">
        <v>1240</v>
      </c>
      <c r="B329" s="1" t="s">
        <v>1241</v>
      </c>
      <c r="C329" s="3">
        <v>1</v>
      </c>
      <c r="D329" s="2">
        <v>16.405000000000001</v>
      </c>
      <c r="E329" s="2">
        <f>TabelaFrecheirinha[[#This Row],[Qtde]]*TabelaFrecheirinha[[#This Row],[Vl. Unitário]]</f>
        <v>16.405000000000001</v>
      </c>
      <c r="F329" s="40" t="str">
        <f>VLOOKUP(TabelaFrecheirinha[[#This Row],[Código+Produto]],Base!A:C,3,0)</f>
        <v>cachaca ypioca ouro mp</v>
      </c>
      <c r="G329" s="8" t="str">
        <f>VLOOKUP(A329,Base!A:D,4,0)</f>
        <v>CACHACAS</v>
      </c>
    </row>
    <row r="330" spans="1:7" x14ac:dyDescent="0.25">
      <c r="A330" s="1" t="s">
        <v>1234</v>
      </c>
      <c r="B330" s="1" t="s">
        <v>6</v>
      </c>
      <c r="C330" s="3">
        <v>1</v>
      </c>
      <c r="D330" s="2">
        <v>35.5</v>
      </c>
      <c r="E330" s="2">
        <f>TabelaFrecheirinha[[#This Row],[Qtde]]*TabelaFrecheirinha[[#This Row],[Vl. Unitário]]</f>
        <v>35.5</v>
      </c>
      <c r="F330" s="7" t="str">
        <f>VLOOKUP(TabelaFrecheirinha[[#This Row],[Código+Produto]],Base!A:C,3,0)</f>
        <v>vodka smirnoff mp</v>
      </c>
      <c r="G330" s="8" t="str">
        <f>VLOOKUP(A330,Base!A:D,4,0)</f>
        <v>VODKAS</v>
      </c>
    </row>
    <row r="331" spans="1:7" x14ac:dyDescent="0.25">
      <c r="A331" s="1" t="s">
        <v>1234</v>
      </c>
      <c r="B331" s="1" t="s">
        <v>6</v>
      </c>
      <c r="C331" s="3">
        <v>2</v>
      </c>
      <c r="D331" s="2">
        <v>35.5</v>
      </c>
      <c r="E331" s="2">
        <f>TabelaFrecheirinha[[#This Row],[Qtde]]*TabelaFrecheirinha[[#This Row],[Vl. Unitário]]</f>
        <v>71</v>
      </c>
      <c r="F331" s="7" t="str">
        <f>VLOOKUP(TabelaFrecheirinha[[#This Row],[Código+Produto]],Base!A:C,3,0)</f>
        <v>vodka smirnoff mp</v>
      </c>
      <c r="G331" s="8" t="str">
        <f>VLOOKUP(A331,Base!A:D,4,0)</f>
        <v>VODKAS</v>
      </c>
    </row>
    <row r="332" spans="1:7" x14ac:dyDescent="0.25">
      <c r="A332" s="1" t="s">
        <v>1235</v>
      </c>
      <c r="B332" s="1" t="s">
        <v>6</v>
      </c>
      <c r="C332" s="3">
        <v>1</v>
      </c>
      <c r="D332" s="2">
        <v>64.67</v>
      </c>
      <c r="E332" s="2">
        <f>TabelaFrecheirinha[[#This Row],[Qtde]]*TabelaFrecheirinha[[#This Row],[Vl. Unitário]]</f>
        <v>64.67</v>
      </c>
      <c r="F332" s="7" t="str">
        <f>VLOOKUP(TabelaFrecheirinha[[#This Row],[Código+Produto]],Base!A:C,3,0)</f>
        <v>whisky black white mp</v>
      </c>
      <c r="G332" s="8" t="str">
        <f>VLOOKUP(A332,Base!A:D,4,0)</f>
        <v>WHISKIES</v>
      </c>
    </row>
    <row r="333" spans="1:7" x14ac:dyDescent="0.25">
      <c r="A333" s="1" t="s">
        <v>1230</v>
      </c>
      <c r="B333" s="1" t="s">
        <v>6</v>
      </c>
      <c r="C333" s="3">
        <v>1</v>
      </c>
      <c r="D333" s="2">
        <v>132.5</v>
      </c>
      <c r="E333" s="2">
        <f>TabelaFrecheirinha[[#This Row],[Qtde]]*TabelaFrecheirinha[[#This Row],[Vl. Unitário]]</f>
        <v>132.5</v>
      </c>
      <c r="F333" s="7" t="str">
        <f>VLOOKUP(TabelaFrecheirinha[[#This Row],[Código+Produto]],Base!A:C,3,0)</f>
        <v>whisky old parr mp</v>
      </c>
      <c r="G333" s="8" t="str">
        <f>VLOOKUP(A333,Base!A:D,4,0)</f>
        <v>WHISKIES</v>
      </c>
    </row>
    <row r="334" spans="1:7" x14ac:dyDescent="0.25">
      <c r="A334" s="1" t="s">
        <v>1230</v>
      </c>
      <c r="B334" s="1" t="s">
        <v>6</v>
      </c>
      <c r="C334" s="3">
        <v>1</v>
      </c>
      <c r="D334" s="2">
        <v>132.5</v>
      </c>
      <c r="E334" s="2">
        <f>TabelaFrecheirinha[[#This Row],[Qtde]]*TabelaFrecheirinha[[#This Row],[Vl. Unitário]]</f>
        <v>132.5</v>
      </c>
      <c r="F334" s="40" t="str">
        <f>VLOOKUP(TabelaFrecheirinha[[#This Row],[Código+Produto]],Base!A:C,3,0)</f>
        <v>whisky old parr mp</v>
      </c>
      <c r="G334" s="8" t="str">
        <f>VLOOKUP(A334,Base!A:D,4,0)</f>
        <v>WHISKIES</v>
      </c>
    </row>
    <row r="335" spans="1:7" x14ac:dyDescent="0.25">
      <c r="A335" s="1" t="s">
        <v>1230</v>
      </c>
      <c r="B335" s="1" t="s">
        <v>6</v>
      </c>
      <c r="C335" s="3">
        <v>1</v>
      </c>
      <c r="D335" s="2">
        <v>132.5</v>
      </c>
      <c r="E335" s="2">
        <f>TabelaFrecheirinha[[#This Row],[Qtde]]*TabelaFrecheirinha[[#This Row],[Vl. Unitário]]</f>
        <v>132.5</v>
      </c>
      <c r="F335" s="40" t="str">
        <f>VLOOKUP(TabelaFrecheirinha[[#This Row],[Código+Produto]],Base!A:C,3,0)</f>
        <v>whisky old parr mp</v>
      </c>
      <c r="G335" s="8" t="str">
        <f>VLOOKUP(A335,Base!A:D,4,0)</f>
        <v>WHISKIES</v>
      </c>
    </row>
    <row r="336" spans="1:7" x14ac:dyDescent="0.25">
      <c r="A336" s="1" t="s">
        <v>1238</v>
      </c>
      <c r="B336" s="1" t="s">
        <v>6</v>
      </c>
      <c r="C336" s="3">
        <v>2</v>
      </c>
      <c r="D336" s="2">
        <v>87.5</v>
      </c>
      <c r="E336" s="2">
        <f>TabelaFrecheirinha[[#This Row],[Qtde]]*TabelaFrecheirinha[[#This Row],[Vl. Unitário]]</f>
        <v>175</v>
      </c>
      <c r="F336" s="40" t="str">
        <f>VLOOKUP(TabelaFrecheirinha[[#This Row],[Código+Produto]],Base!A:C,3,0)</f>
        <v>whisky red label mp</v>
      </c>
      <c r="G336" s="8" t="str">
        <f>VLOOKUP(A336,Base!A:D,4,0)</f>
        <v>WHISKIES</v>
      </c>
    </row>
    <row r="337" spans="1:7" x14ac:dyDescent="0.25">
      <c r="A337" s="1" t="s">
        <v>20</v>
      </c>
      <c r="B337" s="1" t="s">
        <v>1</v>
      </c>
      <c r="C337" s="3">
        <v>4.3</v>
      </c>
      <c r="D337" s="2">
        <v>4.9016000000000002</v>
      </c>
      <c r="E337" s="2">
        <f>TabelaFrecheirinha[[#This Row],[Qtde]]*TabelaFrecheirinha[[#This Row],[Vl. Unitário]]</f>
        <v>21.076879999999999</v>
      </c>
      <c r="F337" s="7" t="str">
        <f>VLOOKUP(TabelaFrecheirinha[[#This Row],[Código+Produto]],Base!A:C,3,0)</f>
        <v>prep farofa</v>
      </c>
      <c r="G337" s="8" t="str">
        <f>VLOOKUP(A337,Base!A:D,4,0)</f>
        <v>PRE PREPARO COZINHA</v>
      </c>
    </row>
    <row r="338" spans="1:7" x14ac:dyDescent="0.25">
      <c r="A338" s="1" t="s">
        <v>20</v>
      </c>
      <c r="B338" s="1" t="s">
        <v>1</v>
      </c>
      <c r="C338" s="3">
        <v>6.15</v>
      </c>
      <c r="D338" s="2">
        <v>4.9016000000000002</v>
      </c>
      <c r="E338" s="2">
        <f>TabelaFrecheirinha[[#This Row],[Qtde]]*TabelaFrecheirinha[[#This Row],[Vl. Unitário]]</f>
        <v>30.144840000000002</v>
      </c>
      <c r="F338" s="7" t="str">
        <f>VLOOKUP(TabelaFrecheirinha[[#This Row],[Código+Produto]],Base!A:C,3,0)</f>
        <v>prep farofa</v>
      </c>
      <c r="G338" s="8" t="str">
        <f>VLOOKUP(A338,Base!A:D,4,0)</f>
        <v>PRE PREPARO COZINHA</v>
      </c>
    </row>
    <row r="339" spans="1:7" x14ac:dyDescent="0.25">
      <c r="A339" s="1" t="s">
        <v>20</v>
      </c>
      <c r="B339" s="1" t="s">
        <v>1</v>
      </c>
      <c r="C339" s="3">
        <v>7.4</v>
      </c>
      <c r="D339" s="2">
        <v>4.9016000000000002</v>
      </c>
      <c r="E339" s="2">
        <f>TabelaFrecheirinha[[#This Row],[Qtde]]*TabelaFrecheirinha[[#This Row],[Vl. Unitário]]</f>
        <v>36.271840000000005</v>
      </c>
      <c r="F339" s="7" t="str">
        <f>VLOOKUP(TabelaFrecheirinha[[#This Row],[Código+Produto]],Base!A:C,3,0)</f>
        <v>prep farofa</v>
      </c>
      <c r="G339" s="8" t="str">
        <f>VLOOKUP(A339,Base!A:D,4,0)</f>
        <v>PRE PREPARO COZINHA</v>
      </c>
    </row>
    <row r="340" spans="1:7" x14ac:dyDescent="0.25">
      <c r="A340" s="1" t="s">
        <v>20</v>
      </c>
      <c r="B340" s="1" t="s">
        <v>1</v>
      </c>
      <c r="C340" s="3">
        <v>7</v>
      </c>
      <c r="D340" s="2">
        <v>4.9016000000000002</v>
      </c>
      <c r="E340" s="2">
        <f>TabelaFrecheirinha[[#This Row],[Qtde]]*TabelaFrecheirinha[[#This Row],[Vl. Unitário]]</f>
        <v>34.311199999999999</v>
      </c>
      <c r="F340" s="7" t="str">
        <f>VLOOKUP(TabelaFrecheirinha[[#This Row],[Código+Produto]],Base!A:C,3,0)</f>
        <v>prep farofa</v>
      </c>
      <c r="G340" s="8" t="str">
        <f>VLOOKUP(A340,Base!A:D,4,0)</f>
        <v>PRE PREPARO COZINHA</v>
      </c>
    </row>
    <row r="341" spans="1:7" x14ac:dyDescent="0.25">
      <c r="A341" s="1" t="s">
        <v>20</v>
      </c>
      <c r="B341" s="1" t="s">
        <v>1</v>
      </c>
      <c r="C341" s="3">
        <v>5.35</v>
      </c>
      <c r="D341" s="2">
        <v>4.9016000000000002</v>
      </c>
      <c r="E341" s="2">
        <f>TabelaFrecheirinha[[#This Row],[Qtde]]*TabelaFrecheirinha[[#This Row],[Vl. Unitário]]</f>
        <v>26.223559999999999</v>
      </c>
      <c r="F341" s="7" t="str">
        <f>VLOOKUP(TabelaFrecheirinha[[#This Row],[Código+Produto]],Base!A:C,3,0)</f>
        <v>prep farofa</v>
      </c>
      <c r="G341" s="8" t="str">
        <f>VLOOKUP(A341,Base!A:D,4,0)</f>
        <v>PRE PREPARO COZINHA</v>
      </c>
    </row>
    <row r="342" spans="1:7" x14ac:dyDescent="0.25">
      <c r="A342" s="1" t="s">
        <v>20</v>
      </c>
      <c r="B342" s="1" t="s">
        <v>1</v>
      </c>
      <c r="C342" s="3">
        <v>3.8</v>
      </c>
      <c r="D342" s="2">
        <v>4.9016000000000002</v>
      </c>
      <c r="E342" s="2">
        <f>TabelaFrecheirinha[[#This Row],[Qtde]]*TabelaFrecheirinha[[#This Row],[Vl. Unitário]]</f>
        <v>18.626079999999998</v>
      </c>
      <c r="F342" s="7" t="str">
        <f>VLOOKUP(TabelaFrecheirinha[[#This Row],[Código+Produto]],Base!A:C,3,0)</f>
        <v>prep farofa</v>
      </c>
      <c r="G342" s="8" t="str">
        <f>VLOOKUP(A342,Base!A:D,4,0)</f>
        <v>PRE PREPARO COZINHA</v>
      </c>
    </row>
    <row r="343" spans="1:7" x14ac:dyDescent="0.25">
      <c r="A343" s="1" t="s">
        <v>20</v>
      </c>
      <c r="B343" s="1" t="s">
        <v>1</v>
      </c>
      <c r="C343" s="3">
        <v>5.5</v>
      </c>
      <c r="D343" s="2">
        <v>4.9016000000000002</v>
      </c>
      <c r="E343" s="2">
        <f>TabelaFrecheirinha[[#This Row],[Qtde]]*TabelaFrecheirinha[[#This Row],[Vl. Unitário]]</f>
        <v>26.9588</v>
      </c>
      <c r="F343" s="7" t="str">
        <f>VLOOKUP(TabelaFrecheirinha[[#This Row],[Código+Produto]],Base!A:C,3,0)</f>
        <v>prep farofa</v>
      </c>
      <c r="G343" s="8" t="str">
        <f>VLOOKUP(A343,Base!A:D,4,0)</f>
        <v>PRE PREPARO COZINHA</v>
      </c>
    </row>
    <row r="344" spans="1:7" x14ac:dyDescent="0.25">
      <c r="A344" s="1" t="s">
        <v>20</v>
      </c>
      <c r="B344" s="1" t="s">
        <v>1</v>
      </c>
      <c r="C344" s="3">
        <v>3.8</v>
      </c>
      <c r="D344" s="2">
        <v>4.9016000000000002</v>
      </c>
      <c r="E344" s="2">
        <f>TabelaFrecheirinha[[#This Row],[Qtde]]*TabelaFrecheirinha[[#This Row],[Vl. Unitário]]</f>
        <v>18.626079999999998</v>
      </c>
      <c r="F344" s="7" t="str">
        <f>VLOOKUP(TabelaFrecheirinha[[#This Row],[Código+Produto]],Base!A:C,3,0)</f>
        <v>prep farofa</v>
      </c>
      <c r="G344" s="8" t="str">
        <f>VLOOKUP(A344,Base!A:D,4,0)</f>
        <v>PRE PREPARO COZINHA</v>
      </c>
    </row>
    <row r="345" spans="1:7" x14ac:dyDescent="0.25">
      <c r="A345" s="1" t="s">
        <v>20</v>
      </c>
      <c r="B345" s="1" t="s">
        <v>1</v>
      </c>
      <c r="C345" s="3">
        <v>6.6</v>
      </c>
      <c r="D345" s="2">
        <v>4.9016000000000002</v>
      </c>
      <c r="E345" s="2">
        <f>TabelaFrecheirinha[[#This Row],[Qtde]]*TabelaFrecheirinha[[#This Row],[Vl. Unitário]]</f>
        <v>32.350560000000002</v>
      </c>
      <c r="F345" s="7" t="str">
        <f>VLOOKUP(TabelaFrecheirinha[[#This Row],[Código+Produto]],Base!A:C,3,0)</f>
        <v>prep farofa</v>
      </c>
      <c r="G345" s="8" t="str">
        <f>VLOOKUP(A345,Base!A:D,4,0)</f>
        <v>PRE PREPARO COZINHA</v>
      </c>
    </row>
    <row r="346" spans="1:7" x14ac:dyDescent="0.25">
      <c r="A346" s="1" t="s">
        <v>20</v>
      </c>
      <c r="B346" s="1" t="s">
        <v>1</v>
      </c>
      <c r="C346" s="3">
        <v>3.7</v>
      </c>
      <c r="D346" s="2">
        <v>4.9016000000000002</v>
      </c>
      <c r="E346" s="2">
        <f>TabelaFrecheirinha[[#This Row],[Qtde]]*TabelaFrecheirinha[[#This Row],[Vl. Unitário]]</f>
        <v>18.135920000000002</v>
      </c>
      <c r="F346" s="40" t="str">
        <f>VLOOKUP(TabelaFrecheirinha[[#This Row],[Código+Produto]],Base!A:C,3,0)</f>
        <v>prep farofa</v>
      </c>
      <c r="G346" s="8" t="str">
        <f>VLOOKUP(A346,Base!A:D,4,0)</f>
        <v>PRE PREPARO COZINHA</v>
      </c>
    </row>
    <row r="347" spans="1:7" x14ac:dyDescent="0.25">
      <c r="A347" s="1" t="s">
        <v>20</v>
      </c>
      <c r="B347" s="1" t="s">
        <v>1</v>
      </c>
      <c r="C347" s="3">
        <v>4.45</v>
      </c>
      <c r="D347" s="2">
        <v>4.9016000000000002</v>
      </c>
      <c r="E347" s="2">
        <f>TabelaFrecheirinha[[#This Row],[Qtde]]*TabelaFrecheirinha[[#This Row],[Vl. Unitário]]</f>
        <v>21.81212</v>
      </c>
      <c r="F347" s="40" t="str">
        <f>VLOOKUP(TabelaFrecheirinha[[#This Row],[Código+Produto]],Base!A:C,3,0)</f>
        <v>prep farofa</v>
      </c>
      <c r="G347" s="8" t="str">
        <f>VLOOKUP(A347,Base!A:D,4,0)</f>
        <v>PRE PREPARO COZINHA</v>
      </c>
    </row>
    <row r="348" spans="1:7" x14ac:dyDescent="0.25">
      <c r="A348" s="1" t="s">
        <v>20</v>
      </c>
      <c r="B348" s="1" t="s">
        <v>1</v>
      </c>
      <c r="C348" s="3">
        <v>5.3</v>
      </c>
      <c r="D348" s="2">
        <v>4.9016000000000002</v>
      </c>
      <c r="E348" s="2">
        <f>TabelaFrecheirinha[[#This Row],[Qtde]]*TabelaFrecheirinha[[#This Row],[Vl. Unitário]]</f>
        <v>25.978480000000001</v>
      </c>
      <c r="F348" s="40" t="str">
        <f>VLOOKUP(TabelaFrecheirinha[[#This Row],[Código+Produto]],Base!A:C,3,0)</f>
        <v>prep farofa</v>
      </c>
      <c r="G348" s="8" t="str">
        <f>VLOOKUP(A348,Base!A:D,4,0)</f>
        <v>PRE PREPARO COZINHA</v>
      </c>
    </row>
    <row r="349" spans="1:7" x14ac:dyDescent="0.25">
      <c r="A349" s="1" t="s">
        <v>20</v>
      </c>
      <c r="B349" s="1" t="s">
        <v>1</v>
      </c>
      <c r="C349" s="3">
        <v>3.7</v>
      </c>
      <c r="D349" s="2">
        <v>4.9016000000000002</v>
      </c>
      <c r="E349" s="2">
        <f>TabelaFrecheirinha[[#This Row],[Qtde]]*TabelaFrecheirinha[[#This Row],[Vl. Unitário]]</f>
        <v>18.135920000000002</v>
      </c>
      <c r="F349" s="40" t="str">
        <f>VLOOKUP(TabelaFrecheirinha[[#This Row],[Código+Produto]],Base!A:C,3,0)</f>
        <v>prep farofa</v>
      </c>
      <c r="G349" s="8" t="str">
        <f>VLOOKUP(A349,Base!A:D,4,0)</f>
        <v>PRE PREPARO COZINHA</v>
      </c>
    </row>
    <row r="350" spans="1:7" x14ac:dyDescent="0.25">
      <c r="A350" s="1" t="s">
        <v>1252</v>
      </c>
      <c r="B350" s="1" t="s">
        <v>6</v>
      </c>
      <c r="C350" s="3">
        <v>2</v>
      </c>
      <c r="D350" s="2">
        <v>22.08</v>
      </c>
      <c r="E350" s="2">
        <f>TabelaFrecheirinha[[#This Row],[Qtde]]*TabelaFrecheirinha[[#This Row],[Vl. Unitário]]</f>
        <v>44.16</v>
      </c>
      <c r="F350" s="7" t="str">
        <f>VLOOKUP(TabelaFrecheirinha[[#This Row],[Código+Produto]],Base!A:C,3,0)</f>
        <v>vinho pergola mp</v>
      </c>
      <c r="G350" s="8" t="str">
        <f>VLOOKUP(A350,Base!A:D,4,0)</f>
        <v>VINHOS</v>
      </c>
    </row>
    <row r="351" spans="1:7" x14ac:dyDescent="0.25">
      <c r="A351" s="1" t="s">
        <v>55</v>
      </c>
      <c r="B351" s="1" t="s">
        <v>1</v>
      </c>
      <c r="C351" s="3">
        <v>15</v>
      </c>
      <c r="D351" s="2">
        <v>19.5</v>
      </c>
      <c r="E351" s="2">
        <f>TabelaFrecheirinha[[#This Row],[Qtde]]*TabelaFrecheirinha[[#This Row],[Vl. Unitário]]</f>
        <v>292.5</v>
      </c>
      <c r="F351" s="7" t="str">
        <f>VLOOKUP(TabelaFrecheirinha[[#This Row],[Código+Produto]],Base!A:C,3,0)</f>
        <v>costela bovina mp</v>
      </c>
      <c r="G351" s="8" t="str">
        <f>VLOOKUP(A351,Base!A:D,4,0)</f>
        <v>CARNES BOVINAS</v>
      </c>
    </row>
    <row r="352" spans="1:7" x14ac:dyDescent="0.25">
      <c r="A352" s="1" t="s">
        <v>55</v>
      </c>
      <c r="B352" s="1" t="s">
        <v>1</v>
      </c>
      <c r="C352" s="3">
        <v>5.9</v>
      </c>
      <c r="D352" s="2">
        <v>19.5</v>
      </c>
      <c r="E352" s="2">
        <f>TabelaFrecheirinha[[#This Row],[Qtde]]*TabelaFrecheirinha[[#This Row],[Vl. Unitário]]</f>
        <v>115.05000000000001</v>
      </c>
      <c r="F352" s="40" t="str">
        <f>VLOOKUP(TabelaFrecheirinha[[#This Row],[Código+Produto]],Base!A:C,3,0)</f>
        <v>costela bovina mp</v>
      </c>
      <c r="G352" s="8" t="str">
        <f>VLOOKUP(A352,Base!A:D,4,0)</f>
        <v>CARNES BOVINAS</v>
      </c>
    </row>
  </sheetData>
  <mergeCells count="42">
    <mergeCell ref="I95:I96"/>
    <mergeCell ref="I97:K97"/>
    <mergeCell ref="I99:K99"/>
    <mergeCell ref="I101:K101"/>
    <mergeCell ref="J52:J53"/>
    <mergeCell ref="J83:J84"/>
    <mergeCell ref="I82:K82"/>
    <mergeCell ref="I83:I84"/>
    <mergeCell ref="I85:K85"/>
    <mergeCell ref="I87:K87"/>
    <mergeCell ref="I89:K89"/>
    <mergeCell ref="I14:I15"/>
    <mergeCell ref="I16:K16"/>
    <mergeCell ref="I17:I19"/>
    <mergeCell ref="I20:K20"/>
    <mergeCell ref="I21:I23"/>
    <mergeCell ref="I47:I57"/>
    <mergeCell ref="I58:K58"/>
    <mergeCell ref="I59:I60"/>
    <mergeCell ref="I61:K61"/>
    <mergeCell ref="I62:I64"/>
    <mergeCell ref="I65:K65"/>
    <mergeCell ref="I66:I73"/>
    <mergeCell ref="I74:K74"/>
    <mergeCell ref="I76:K76"/>
    <mergeCell ref="I78:K78"/>
    <mergeCell ref="I79:I81"/>
    <mergeCell ref="I26:K26"/>
    <mergeCell ref="I27:I30"/>
    <mergeCell ref="I31:K31"/>
    <mergeCell ref="I32:I45"/>
    <mergeCell ref="I46:K46"/>
    <mergeCell ref="I13:K13"/>
    <mergeCell ref="I24:K24"/>
    <mergeCell ref="I91:K91"/>
    <mergeCell ref="I92:I93"/>
    <mergeCell ref="I94:K94"/>
    <mergeCell ref="A1:G4"/>
    <mergeCell ref="I1:L4"/>
    <mergeCell ref="M3:N4"/>
    <mergeCell ref="M1:N2"/>
    <mergeCell ref="I6:I12"/>
  </mergeCells>
  <pageMargins left="0.23622047244094491" right="0.23622047244094491" top="0.23622047244094491" bottom="0.23622047244094491" header="0" footer="0"/>
  <pageSetup paperSize="9" scale="98" fitToHeight="0"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CB7C-0936-41C3-BA0F-BD864B5EBAE5}">
  <sheetPr>
    <pageSetUpPr fitToPage="1"/>
  </sheetPr>
  <dimension ref="A1:P353"/>
  <sheetViews>
    <sheetView tabSelected="1" topLeftCell="D1" workbookViewId="0">
      <selection activeCell="I1" sqref="I1:L4"/>
    </sheetView>
  </sheetViews>
  <sheetFormatPr defaultRowHeight="15" x14ac:dyDescent="0.25"/>
  <cols>
    <col min="1" max="1" width="35.28515625" bestFit="1" customWidth="1"/>
    <col min="2" max="2" width="6.42578125" bestFit="1" customWidth="1"/>
    <col min="3" max="3" width="7.5703125" bestFit="1" customWidth="1"/>
    <col min="4" max="4" width="10.85546875" bestFit="1" customWidth="1"/>
    <col min="5" max="5" width="14.28515625" bestFit="1" customWidth="1"/>
    <col min="6" max="6" width="32.85546875" bestFit="1" customWidth="1"/>
    <col min="7" max="7" width="29.42578125" bestFit="1" customWidth="1"/>
    <col min="9" max="9" width="23.42578125" bestFit="1" customWidth="1"/>
    <col min="10" max="10" width="31.42578125" bestFit="1" customWidth="1"/>
    <col min="11" max="11" width="8.28515625" bestFit="1" customWidth="1"/>
    <col min="12" max="12" width="11.42578125" bestFit="1" customWidth="1"/>
    <col min="13" max="14" width="13.28515625" bestFit="1" customWidth="1"/>
  </cols>
  <sheetData>
    <row r="1" spans="1:16" ht="15" customHeight="1" x14ac:dyDescent="0.25">
      <c r="A1" s="11" t="s">
        <v>1192</v>
      </c>
      <c r="B1" s="12"/>
      <c r="C1" s="12"/>
      <c r="D1" s="12"/>
      <c r="E1" s="12"/>
      <c r="F1" s="12"/>
      <c r="G1" s="13"/>
      <c r="I1" s="20" t="s">
        <v>1265</v>
      </c>
      <c r="J1" s="21"/>
      <c r="K1" s="21"/>
      <c r="L1" s="21"/>
      <c r="M1" s="26" t="s">
        <v>1191</v>
      </c>
      <c r="N1" s="27"/>
    </row>
    <row r="2" spans="1:16" ht="15" customHeight="1" x14ac:dyDescent="0.25">
      <c r="A2" s="14"/>
      <c r="B2" s="15"/>
      <c r="C2" s="15"/>
      <c r="D2" s="15"/>
      <c r="E2" s="15"/>
      <c r="F2" s="15"/>
      <c r="G2" s="16"/>
      <c r="I2" s="22"/>
      <c r="J2" s="23"/>
      <c r="K2" s="23"/>
      <c r="L2" s="23"/>
      <c r="M2" s="28"/>
      <c r="N2" s="29"/>
    </row>
    <row r="3" spans="1:16" ht="15" customHeight="1" x14ac:dyDescent="0.25">
      <c r="A3" s="14"/>
      <c r="B3" s="15"/>
      <c r="C3" s="15"/>
      <c r="D3" s="15"/>
      <c r="E3" s="15"/>
      <c r="F3" s="15"/>
      <c r="G3" s="16"/>
      <c r="I3" s="22"/>
      <c r="J3" s="23"/>
      <c r="K3" s="23"/>
      <c r="L3" s="23"/>
      <c r="M3" s="30">
        <f>SUM(N6:N1048576)</f>
        <v>40751.125059000013</v>
      </c>
      <c r="N3" s="31"/>
      <c r="P3">
        <v>35497.705545500015</v>
      </c>
    </row>
    <row r="4" spans="1:16" ht="15" customHeight="1" x14ac:dyDescent="0.25">
      <c r="A4" s="17"/>
      <c r="B4" s="18"/>
      <c r="C4" s="18"/>
      <c r="D4" s="18"/>
      <c r="E4" s="18"/>
      <c r="F4" s="18"/>
      <c r="G4" s="19"/>
      <c r="I4" s="24"/>
      <c r="J4" s="25"/>
      <c r="K4" s="25"/>
      <c r="L4" s="25"/>
      <c r="M4" s="32"/>
      <c r="N4" s="33"/>
    </row>
    <row r="5" spans="1:16" x14ac:dyDescent="0.25">
      <c r="A5" s="1" t="s">
        <v>1186</v>
      </c>
      <c r="B5" s="1" t="s">
        <v>14</v>
      </c>
      <c r="C5" s="1" t="s">
        <v>59</v>
      </c>
      <c r="D5" s="1" t="s">
        <v>60</v>
      </c>
      <c r="E5" s="1" t="s">
        <v>61</v>
      </c>
      <c r="F5" s="1" t="s">
        <v>58</v>
      </c>
      <c r="G5" s="1" t="s">
        <v>1185</v>
      </c>
      <c r="I5" s="4" t="s">
        <v>1187</v>
      </c>
      <c r="J5" s="4" t="s">
        <v>58</v>
      </c>
      <c r="K5" s="4" t="s">
        <v>14</v>
      </c>
      <c r="L5" s="1" t="s">
        <v>1188</v>
      </c>
      <c r="M5" s="1" t="s">
        <v>1189</v>
      </c>
      <c r="N5" s="1" t="s">
        <v>1190</v>
      </c>
    </row>
    <row r="6" spans="1:16" x14ac:dyDescent="0.25">
      <c r="A6" s="1" t="s">
        <v>1262</v>
      </c>
      <c r="B6" s="1" t="s">
        <v>1</v>
      </c>
      <c r="C6" s="3">
        <v>1.4</v>
      </c>
      <c r="D6" s="2">
        <v>15</v>
      </c>
      <c r="E6" s="2">
        <f>TabelaTianguá[[#This Row],[Qtde]]*TabelaTianguá[[#This Row],[Vl. Unitário]]</f>
        <v>21</v>
      </c>
      <c r="F6" s="40" t="e">
        <f>VLOOKUP(TabelaTianguá[[#This Row],[Código+Produto]],Base!A:C,3,0)</f>
        <v>#N/A</v>
      </c>
      <c r="G6" s="8" t="e">
        <f>VLOOKUP(A6,Base!A:D,4,0)</f>
        <v>#N/A</v>
      </c>
      <c r="I6" s="9" t="s">
        <v>548</v>
      </c>
      <c r="J6" s="6" t="s">
        <v>549</v>
      </c>
      <c r="K6" s="6" t="s">
        <v>1</v>
      </c>
      <c r="L6" s="3">
        <v>246.13800000000003</v>
      </c>
      <c r="M6" s="5">
        <v>41.200666666666663</v>
      </c>
      <c r="N6" s="5">
        <v>10129.948200000001</v>
      </c>
    </row>
    <row r="7" spans="1:16" x14ac:dyDescent="0.25">
      <c r="A7" s="1" t="s">
        <v>1255</v>
      </c>
      <c r="B7" s="1" t="s">
        <v>1</v>
      </c>
      <c r="C7" s="3">
        <v>6</v>
      </c>
      <c r="D7" s="2">
        <v>20</v>
      </c>
      <c r="E7" s="2">
        <f>TabelaTianguá[[#This Row],[Qtde]]*TabelaTianguá[[#This Row],[Vl. Unitário]]</f>
        <v>120</v>
      </c>
      <c r="F7" s="7" t="e">
        <f>VLOOKUP(TabelaTianguá[[#This Row],[Código+Produto]],Base!A:C,3,0)</f>
        <v>#N/A</v>
      </c>
      <c r="G7" s="8" t="e">
        <f>VLOOKUP(A7,Base!A:D,4,0)</f>
        <v>#N/A</v>
      </c>
      <c r="I7" s="10" t="s">
        <v>548</v>
      </c>
      <c r="J7" s="6" t="s">
        <v>553</v>
      </c>
      <c r="K7" s="6" t="s">
        <v>1</v>
      </c>
      <c r="L7" s="3">
        <v>57.25</v>
      </c>
      <c r="M7" s="5">
        <v>93.175572727272723</v>
      </c>
      <c r="N7" s="5">
        <v>5336.7208750000009</v>
      </c>
    </row>
    <row r="8" spans="1:16" x14ac:dyDescent="0.25">
      <c r="A8" s="1" t="s">
        <v>1216</v>
      </c>
      <c r="B8" s="1" t="s">
        <v>14</v>
      </c>
      <c r="C8" s="3">
        <v>10</v>
      </c>
      <c r="D8" s="2">
        <v>8</v>
      </c>
      <c r="E8" s="2">
        <f>TabelaTianguá[[#This Row],[Qtde]]*TabelaTianguá[[#This Row],[Vl. Unitário]]</f>
        <v>80</v>
      </c>
      <c r="F8" s="7" t="str">
        <f>VLOOKUP(TabelaTianguá[[#This Row],[Código+Produto]],Base!A:C,3,0)</f>
        <v>PUDIM DE LEITE CONDENSADO</v>
      </c>
      <c r="G8" s="8" t="str">
        <f>VLOOKUP(A8,Base!A:D,4,0)</f>
        <v>PUDINS</v>
      </c>
      <c r="I8" s="10" t="s">
        <v>548</v>
      </c>
      <c r="J8" s="6" t="s">
        <v>551</v>
      </c>
      <c r="K8" s="6" t="s">
        <v>1</v>
      </c>
      <c r="L8" s="3">
        <v>46.349999999999994</v>
      </c>
      <c r="M8" s="5">
        <v>64.996436363636363</v>
      </c>
      <c r="N8" s="5">
        <v>3012.63436</v>
      </c>
    </row>
    <row r="9" spans="1:16" x14ac:dyDescent="0.25">
      <c r="A9" s="1" t="s">
        <v>1216</v>
      </c>
      <c r="B9" s="1" t="s">
        <v>14</v>
      </c>
      <c r="C9" s="3">
        <v>3</v>
      </c>
      <c r="D9" s="2">
        <v>9</v>
      </c>
      <c r="E9" s="2">
        <f>TabelaTianguá[[#This Row],[Qtde]]*TabelaTianguá[[#This Row],[Vl. Unitário]]</f>
        <v>27</v>
      </c>
      <c r="F9" s="7" t="str">
        <f>VLOOKUP(TabelaTianguá[[#This Row],[Código+Produto]],Base!A:C,3,0)</f>
        <v>PUDIM DE LEITE CONDENSADO</v>
      </c>
      <c r="G9" s="8" t="str">
        <f>VLOOKUP(A9,Base!A:D,4,0)</f>
        <v>PUDINS</v>
      </c>
      <c r="I9" s="10" t="s">
        <v>548</v>
      </c>
      <c r="J9" s="6" t="s">
        <v>547</v>
      </c>
      <c r="K9" s="6" t="s">
        <v>1</v>
      </c>
      <c r="L9" s="3">
        <v>7.65</v>
      </c>
      <c r="M9" s="5">
        <v>46.906700000000001</v>
      </c>
      <c r="N9" s="5">
        <v>358.83625499999994</v>
      </c>
    </row>
    <row r="10" spans="1:16" x14ac:dyDescent="0.25">
      <c r="A10" s="1" t="s">
        <v>1216</v>
      </c>
      <c r="B10" s="1" t="s">
        <v>14</v>
      </c>
      <c r="C10" s="3">
        <v>12</v>
      </c>
      <c r="D10" s="2">
        <v>9</v>
      </c>
      <c r="E10" s="2">
        <f>TabelaTianguá[[#This Row],[Qtde]]*TabelaTianguá[[#This Row],[Vl. Unitário]]</f>
        <v>108</v>
      </c>
      <c r="F10" s="7" t="str">
        <f>VLOOKUP(TabelaTianguá[[#This Row],[Código+Produto]],Base!A:C,3,0)</f>
        <v>PUDIM DE LEITE CONDENSADO</v>
      </c>
      <c r="G10" s="8" t="str">
        <f>VLOOKUP(A10,Base!A:D,4,0)</f>
        <v>PUDINS</v>
      </c>
      <c r="I10" s="9"/>
      <c r="J10" s="10"/>
      <c r="K10" s="10"/>
      <c r="L10" s="3"/>
      <c r="M10" s="5"/>
      <c r="N10" s="5"/>
    </row>
    <row r="11" spans="1:16" x14ac:dyDescent="0.25">
      <c r="A11" s="1" t="s">
        <v>1216</v>
      </c>
      <c r="B11" s="1" t="s">
        <v>14</v>
      </c>
      <c r="C11" s="3">
        <v>12</v>
      </c>
      <c r="D11" s="2">
        <v>9</v>
      </c>
      <c r="E11" s="2">
        <f>TabelaTianguá[[#This Row],[Qtde]]*TabelaTianguá[[#This Row],[Vl. Unitário]]</f>
        <v>108</v>
      </c>
      <c r="F11" s="7" t="str">
        <f>VLOOKUP(TabelaTianguá[[#This Row],[Código+Produto]],Base!A:C,3,0)</f>
        <v>PUDIM DE LEITE CONDENSADO</v>
      </c>
      <c r="G11" s="8" t="str">
        <f>VLOOKUP(A11,Base!A:D,4,0)</f>
        <v>PUDINS</v>
      </c>
      <c r="I11" s="9" t="s">
        <v>601</v>
      </c>
      <c r="J11" s="6" t="s">
        <v>711</v>
      </c>
      <c r="K11" s="6" t="s">
        <v>1</v>
      </c>
      <c r="L11" s="3">
        <v>107.77000000000001</v>
      </c>
      <c r="M11" s="5">
        <v>17</v>
      </c>
      <c r="N11" s="5">
        <v>1832.0900000000001</v>
      </c>
    </row>
    <row r="12" spans="1:16" x14ac:dyDescent="0.25">
      <c r="A12" s="1" t="s">
        <v>24</v>
      </c>
      <c r="B12" s="1" t="s">
        <v>1</v>
      </c>
      <c r="C12" s="3">
        <v>2.35</v>
      </c>
      <c r="D12" s="2">
        <v>46.906700000000001</v>
      </c>
      <c r="E12" s="2">
        <f>TabelaTianguá[[#This Row],[Qtde]]*TabelaTianguá[[#This Row],[Vl. Unitário]]</f>
        <v>110.230745</v>
      </c>
      <c r="F12" s="7" t="str">
        <f>VLOOKUP(TabelaTianguá[[#This Row],[Código+Produto]],Base!A:C,3,0)</f>
        <v>carne de sol mp</v>
      </c>
      <c r="G12" s="8" t="str">
        <f>VLOOKUP(A12,Base!A:D,4,0)</f>
        <v>CARNES BOVINAS</v>
      </c>
      <c r="I12" s="10" t="s">
        <v>601</v>
      </c>
      <c r="J12" s="6" t="s">
        <v>603</v>
      </c>
      <c r="K12" s="6" t="s">
        <v>1</v>
      </c>
      <c r="L12" s="3">
        <v>46.45</v>
      </c>
      <c r="M12" s="5">
        <v>32.833333333333336</v>
      </c>
      <c r="N12" s="5">
        <v>1524.6499999999999</v>
      </c>
    </row>
    <row r="13" spans="1:16" x14ac:dyDescent="0.25">
      <c r="A13" s="1" t="s">
        <v>24</v>
      </c>
      <c r="B13" s="1" t="s">
        <v>1</v>
      </c>
      <c r="C13" s="3">
        <v>1.1499999999999999</v>
      </c>
      <c r="D13" s="2">
        <v>46.906700000000001</v>
      </c>
      <c r="E13" s="2">
        <f>TabelaTianguá[[#This Row],[Qtde]]*TabelaTianguá[[#This Row],[Vl. Unitário]]</f>
        <v>53.942704999999997</v>
      </c>
      <c r="F13" s="7" t="str">
        <f>VLOOKUP(TabelaTianguá[[#This Row],[Código+Produto]],Base!A:C,3,0)</f>
        <v>carne de sol mp</v>
      </c>
      <c r="G13" s="8" t="str">
        <f>VLOOKUP(A13,Base!A:D,4,0)</f>
        <v>CARNES BOVINAS</v>
      </c>
      <c r="I13" s="10" t="s">
        <v>601</v>
      </c>
      <c r="J13" s="6" t="s">
        <v>600</v>
      </c>
      <c r="K13" s="6" t="s">
        <v>1</v>
      </c>
      <c r="L13" s="3">
        <v>6</v>
      </c>
      <c r="M13" s="5">
        <v>62.9</v>
      </c>
      <c r="N13" s="5">
        <v>377.4</v>
      </c>
    </row>
    <row r="14" spans="1:16" x14ac:dyDescent="0.25">
      <c r="A14" s="1" t="s">
        <v>24</v>
      </c>
      <c r="B14" s="1" t="s">
        <v>1</v>
      </c>
      <c r="C14" s="3">
        <v>0.9</v>
      </c>
      <c r="D14" s="2">
        <v>46.906700000000001</v>
      </c>
      <c r="E14" s="2">
        <f>TabelaTianguá[[#This Row],[Qtde]]*TabelaTianguá[[#This Row],[Vl. Unitário]]</f>
        <v>42.216030000000003</v>
      </c>
      <c r="F14" s="7" t="str">
        <f>VLOOKUP(TabelaTianguá[[#This Row],[Código+Produto]],Base!A:C,3,0)</f>
        <v>carne de sol mp</v>
      </c>
      <c r="G14" s="8" t="str">
        <f>VLOOKUP(A14,Base!A:D,4,0)</f>
        <v>CARNES BOVINAS</v>
      </c>
      <c r="I14" s="9"/>
      <c r="J14" s="10"/>
      <c r="K14" s="10"/>
      <c r="L14" s="3"/>
      <c r="M14" s="5"/>
      <c r="N14" s="5"/>
    </row>
    <row r="15" spans="1:16" x14ac:dyDescent="0.25">
      <c r="A15" s="1" t="s">
        <v>24</v>
      </c>
      <c r="B15" s="1" t="s">
        <v>1</v>
      </c>
      <c r="C15" s="3">
        <v>1.95</v>
      </c>
      <c r="D15" s="2">
        <v>46.906700000000001</v>
      </c>
      <c r="E15" s="2">
        <f>TabelaTianguá[[#This Row],[Qtde]]*TabelaTianguá[[#This Row],[Vl. Unitário]]</f>
        <v>91.468064999999996</v>
      </c>
      <c r="F15" s="40" t="str">
        <f>VLOOKUP(TabelaTianguá[[#This Row],[Código+Produto]],Base!A:C,3,0)</f>
        <v>carne de sol mp</v>
      </c>
      <c r="G15" s="8" t="str">
        <f>VLOOKUP(A15,Base!A:D,4,0)</f>
        <v>CARNES BOVINAS</v>
      </c>
      <c r="I15" s="9" t="s">
        <v>569</v>
      </c>
      <c r="J15" s="6" t="s">
        <v>570</v>
      </c>
      <c r="K15" s="6" t="s">
        <v>1</v>
      </c>
      <c r="L15" s="3">
        <v>153.5</v>
      </c>
      <c r="M15" s="5">
        <v>17.655099999999997</v>
      </c>
      <c r="N15" s="5">
        <v>2691.3599999999992</v>
      </c>
    </row>
    <row r="16" spans="1:16" x14ac:dyDescent="0.25">
      <c r="A16" s="1" t="s">
        <v>24</v>
      </c>
      <c r="B16" s="1" t="s">
        <v>1</v>
      </c>
      <c r="C16" s="3">
        <v>1.3</v>
      </c>
      <c r="D16" s="2">
        <v>46.906700000000001</v>
      </c>
      <c r="E16" s="2">
        <f>TabelaTianguá[[#This Row],[Qtde]]*TabelaTianguá[[#This Row],[Vl. Unitário]]</f>
        <v>60.97871</v>
      </c>
      <c r="F16" s="40" t="str">
        <f>VLOOKUP(TabelaTianguá[[#This Row],[Código+Produto]],Base!A:C,3,0)</f>
        <v>carne de sol mp</v>
      </c>
      <c r="G16" s="8" t="str">
        <f>VLOOKUP(A16,Base!A:D,4,0)</f>
        <v>CARNES BOVINAS</v>
      </c>
      <c r="I16" s="10" t="s">
        <v>569</v>
      </c>
      <c r="J16" s="6" t="s">
        <v>571</v>
      </c>
      <c r="K16" s="6" t="s">
        <v>1</v>
      </c>
      <c r="L16" s="3">
        <v>16.600000000000001</v>
      </c>
      <c r="M16" s="5">
        <v>9.9708000000000006</v>
      </c>
      <c r="N16" s="5">
        <v>165.51528000000002</v>
      </c>
    </row>
    <row r="17" spans="1:14" x14ac:dyDescent="0.25">
      <c r="A17" s="1" t="s">
        <v>11</v>
      </c>
      <c r="B17" s="1" t="s">
        <v>1</v>
      </c>
      <c r="C17" s="3">
        <v>16.100000000000001</v>
      </c>
      <c r="D17" s="2">
        <v>42.89</v>
      </c>
      <c r="E17" s="2">
        <f>TabelaTianguá[[#This Row],[Qtde]]*TabelaTianguá[[#This Row],[Vl. Unitário]]</f>
        <v>690.52900000000011</v>
      </c>
      <c r="F17" s="7" t="str">
        <f>VLOOKUP(TabelaTianguá[[#This Row],[Código+Produto]],Base!A:C,3,0)</f>
        <v>contra file mp</v>
      </c>
      <c r="G17" s="8" t="str">
        <f>VLOOKUP(A17,Base!A:D,4,0)</f>
        <v>CARNES BOVINAS</v>
      </c>
      <c r="I17" s="10" t="s">
        <v>569</v>
      </c>
      <c r="J17" s="6" t="s">
        <v>568</v>
      </c>
      <c r="K17" s="6" t="s">
        <v>1</v>
      </c>
      <c r="L17" s="3">
        <v>10.8</v>
      </c>
      <c r="M17" s="5">
        <v>9.0898499999999984</v>
      </c>
      <c r="N17" s="5">
        <v>97.990469999999988</v>
      </c>
    </row>
    <row r="18" spans="1:14" x14ac:dyDescent="0.25">
      <c r="A18" s="1" t="s">
        <v>11</v>
      </c>
      <c r="B18" s="1" t="s">
        <v>1</v>
      </c>
      <c r="C18" s="3">
        <v>23.74</v>
      </c>
      <c r="D18" s="2">
        <v>42.89</v>
      </c>
      <c r="E18" s="2">
        <f>TabelaTianguá[[#This Row],[Qtde]]*TabelaTianguá[[#This Row],[Vl. Unitário]]</f>
        <v>1018.2085999999999</v>
      </c>
      <c r="F18" s="7" t="str">
        <f>VLOOKUP(TabelaTianguá[[#This Row],[Código+Produto]],Base!A:C,3,0)</f>
        <v>contra file mp</v>
      </c>
      <c r="G18" s="8" t="str">
        <f>VLOOKUP(A18,Base!A:D,4,0)</f>
        <v>CARNES BOVINAS</v>
      </c>
      <c r="I18" s="9"/>
      <c r="J18" s="10"/>
      <c r="K18" s="10"/>
      <c r="L18" s="3"/>
      <c r="M18" s="5"/>
      <c r="N18" s="5"/>
    </row>
    <row r="19" spans="1:14" x14ac:dyDescent="0.25">
      <c r="A19" s="1" t="s">
        <v>11</v>
      </c>
      <c r="B19" s="1" t="s">
        <v>1</v>
      </c>
      <c r="C19" s="3">
        <v>9.25</v>
      </c>
      <c r="D19" s="2">
        <v>42.89</v>
      </c>
      <c r="E19" s="2">
        <f>TabelaTianguá[[#This Row],[Qtde]]*TabelaTianguá[[#This Row],[Vl. Unitário]]</f>
        <v>396.73250000000002</v>
      </c>
      <c r="F19" s="7" t="str">
        <f>VLOOKUP(TabelaTianguá[[#This Row],[Código+Produto]],Base!A:C,3,0)</f>
        <v>contra file mp</v>
      </c>
      <c r="G19" s="8" t="str">
        <f>VLOOKUP(A19,Base!A:D,4,0)</f>
        <v>CARNES BOVINAS</v>
      </c>
      <c r="I19" s="6" t="s">
        <v>557</v>
      </c>
      <c r="J19" s="6" t="s">
        <v>556</v>
      </c>
      <c r="K19" s="6" t="s">
        <v>1</v>
      </c>
      <c r="L19" s="3">
        <v>232</v>
      </c>
      <c r="M19" s="5">
        <v>12.148146666666666</v>
      </c>
      <c r="N19" s="5">
        <v>2813.5068000000001</v>
      </c>
    </row>
    <row r="20" spans="1:14" x14ac:dyDescent="0.25">
      <c r="A20" s="1" t="s">
        <v>11</v>
      </c>
      <c r="B20" s="1" t="s">
        <v>1</v>
      </c>
      <c r="C20" s="3">
        <v>22.457999999999998</v>
      </c>
      <c r="D20" s="2">
        <v>39</v>
      </c>
      <c r="E20" s="2">
        <f>TabelaTianguá[[#This Row],[Qtde]]*TabelaTianguá[[#This Row],[Vl. Unitário]]</f>
        <v>875.86199999999997</v>
      </c>
      <c r="F20" s="7" t="str">
        <f>VLOOKUP(TabelaTianguá[[#This Row],[Código+Produto]],Base!A:C,3,0)</f>
        <v>contra file mp</v>
      </c>
      <c r="G20" s="8" t="str">
        <f>VLOOKUP(A20,Base!A:D,4,0)</f>
        <v>CARNES BOVINAS</v>
      </c>
      <c r="I20" s="9"/>
      <c r="J20" s="10"/>
      <c r="K20" s="10"/>
      <c r="L20" s="3"/>
      <c r="M20" s="5"/>
      <c r="N20" s="5"/>
    </row>
    <row r="21" spans="1:14" x14ac:dyDescent="0.25">
      <c r="A21" s="1" t="s">
        <v>11</v>
      </c>
      <c r="B21" s="1" t="s">
        <v>1</v>
      </c>
      <c r="C21" s="3">
        <v>10.15</v>
      </c>
      <c r="D21" s="2">
        <v>41.89</v>
      </c>
      <c r="E21" s="2">
        <f>TabelaTianguá[[#This Row],[Qtde]]*TabelaTianguá[[#This Row],[Vl. Unitário]]</f>
        <v>425.18350000000004</v>
      </c>
      <c r="F21" s="7" t="str">
        <f>VLOOKUP(TabelaTianguá[[#This Row],[Código+Produto]],Base!A:C,3,0)</f>
        <v>contra file mp</v>
      </c>
      <c r="G21" s="8" t="str">
        <f>VLOOKUP(A21,Base!A:D,4,0)</f>
        <v>CARNES BOVINAS</v>
      </c>
      <c r="I21" s="9" t="s">
        <v>631</v>
      </c>
      <c r="J21" s="6" t="s">
        <v>630</v>
      </c>
      <c r="K21" s="6" t="s">
        <v>1</v>
      </c>
      <c r="L21" s="3">
        <v>49.730000000000004</v>
      </c>
      <c r="M21" s="5">
        <v>23.675485714285713</v>
      </c>
      <c r="N21" s="5">
        <v>1182.616712</v>
      </c>
    </row>
    <row r="22" spans="1:14" x14ac:dyDescent="0.25">
      <c r="A22" s="1" t="s">
        <v>11</v>
      </c>
      <c r="B22" s="1" t="s">
        <v>1</v>
      </c>
      <c r="C22" s="3">
        <v>23.14</v>
      </c>
      <c r="D22" s="2">
        <v>41.89</v>
      </c>
      <c r="E22" s="2">
        <f>TabelaTianguá[[#This Row],[Qtde]]*TabelaTianguá[[#This Row],[Vl. Unitário]]</f>
        <v>969.33460000000002</v>
      </c>
      <c r="F22" s="7" t="str">
        <f>VLOOKUP(TabelaTianguá[[#This Row],[Código+Produto]],Base!A:C,3,0)</f>
        <v>contra file mp</v>
      </c>
      <c r="G22" s="8" t="str">
        <f>VLOOKUP(A22,Base!A:D,4,0)</f>
        <v>CARNES BOVINAS</v>
      </c>
      <c r="I22" s="10" t="s">
        <v>631</v>
      </c>
      <c r="J22" s="6" t="s">
        <v>632</v>
      </c>
      <c r="K22" s="6" t="s">
        <v>1</v>
      </c>
      <c r="L22" s="3">
        <v>62.9</v>
      </c>
      <c r="M22" s="5">
        <v>16.5701</v>
      </c>
      <c r="N22" s="5">
        <v>1042.25929</v>
      </c>
    </row>
    <row r="23" spans="1:14" x14ac:dyDescent="0.25">
      <c r="A23" s="1" t="s">
        <v>11</v>
      </c>
      <c r="B23" s="1" t="s">
        <v>1</v>
      </c>
      <c r="C23" s="3">
        <v>14.9</v>
      </c>
      <c r="D23" s="2">
        <v>41.89</v>
      </c>
      <c r="E23" s="2">
        <f>TabelaTianguá[[#This Row],[Qtde]]*TabelaTianguá[[#This Row],[Vl. Unitário]]</f>
        <v>624.16100000000006</v>
      </c>
      <c r="F23" s="7" t="str">
        <f>VLOOKUP(TabelaTianguá[[#This Row],[Código+Produto]],Base!A:C,3,0)</f>
        <v>contra file mp</v>
      </c>
      <c r="G23" s="8" t="str">
        <f>VLOOKUP(A23,Base!A:D,4,0)</f>
        <v>CARNES BOVINAS</v>
      </c>
      <c r="I23" s="10" t="s">
        <v>631</v>
      </c>
      <c r="J23" s="6" t="s">
        <v>634</v>
      </c>
      <c r="K23" s="6" t="s">
        <v>1</v>
      </c>
      <c r="L23" s="3">
        <v>12.7</v>
      </c>
      <c r="M23" s="5">
        <v>19.510000000000002</v>
      </c>
      <c r="N23" s="5">
        <v>247.77700000000004</v>
      </c>
    </row>
    <row r="24" spans="1:14" x14ac:dyDescent="0.25">
      <c r="A24" s="1" t="s">
        <v>11</v>
      </c>
      <c r="B24" s="1" t="s">
        <v>1</v>
      </c>
      <c r="C24" s="3">
        <v>14.8</v>
      </c>
      <c r="D24" s="2">
        <v>41.89</v>
      </c>
      <c r="E24" s="2">
        <f>TabelaTianguá[[#This Row],[Qtde]]*TabelaTianguá[[#This Row],[Vl. Unitário]]</f>
        <v>619.97200000000009</v>
      </c>
      <c r="F24" s="7" t="str">
        <f>VLOOKUP(TabelaTianguá[[#This Row],[Código+Produto]],Base!A:C,3,0)</f>
        <v>contra file mp</v>
      </c>
      <c r="G24" s="8" t="str">
        <f>VLOOKUP(A24,Base!A:D,4,0)</f>
        <v>CARNES BOVINAS</v>
      </c>
      <c r="I24" s="9"/>
      <c r="J24" s="10"/>
      <c r="K24" s="10"/>
      <c r="L24" s="3"/>
      <c r="M24" s="5"/>
      <c r="N24" s="5"/>
    </row>
    <row r="25" spans="1:14" x14ac:dyDescent="0.25">
      <c r="A25" s="1" t="s">
        <v>11</v>
      </c>
      <c r="B25" s="1" t="s">
        <v>1</v>
      </c>
      <c r="C25" s="3">
        <v>17</v>
      </c>
      <c r="D25" s="2">
        <v>41</v>
      </c>
      <c r="E25" s="2">
        <f>TabelaTianguá[[#This Row],[Qtde]]*TabelaTianguá[[#This Row],[Vl. Unitário]]</f>
        <v>697</v>
      </c>
      <c r="F25" s="7" t="str">
        <f>VLOOKUP(TabelaTianguá[[#This Row],[Código+Produto]],Base!A:C,3,0)</f>
        <v>contra file mp</v>
      </c>
      <c r="G25" s="8" t="str">
        <f>VLOOKUP(A25,Base!A:D,4,0)</f>
        <v>CARNES BOVINAS</v>
      </c>
      <c r="I25" s="9" t="s">
        <v>593</v>
      </c>
      <c r="J25" s="6" t="s">
        <v>597</v>
      </c>
      <c r="K25" s="6" t="s">
        <v>1</v>
      </c>
      <c r="L25" s="3">
        <v>29.240000000000002</v>
      </c>
      <c r="M25" s="5">
        <v>31.19406</v>
      </c>
      <c r="N25" s="5">
        <v>912.24382899999989</v>
      </c>
    </row>
    <row r="26" spans="1:14" x14ac:dyDescent="0.25">
      <c r="A26" s="1" t="s">
        <v>11</v>
      </c>
      <c r="B26" s="1" t="s">
        <v>1</v>
      </c>
      <c r="C26" s="3">
        <v>25.3</v>
      </c>
      <c r="D26" s="2">
        <v>41</v>
      </c>
      <c r="E26" s="2">
        <f>TabelaTianguá[[#This Row],[Qtde]]*TabelaTianguá[[#This Row],[Vl. Unitário]]</f>
        <v>1037.3</v>
      </c>
      <c r="F26" s="7" t="str">
        <f>VLOOKUP(TabelaTianguá[[#This Row],[Código+Produto]],Base!A:C,3,0)</f>
        <v>contra file mp</v>
      </c>
      <c r="G26" s="8" t="str">
        <f>VLOOKUP(A26,Base!A:D,4,0)</f>
        <v>CARNES BOVINAS</v>
      </c>
      <c r="I26" s="10" t="s">
        <v>593</v>
      </c>
      <c r="J26" s="6" t="s">
        <v>592</v>
      </c>
      <c r="K26" s="6" t="s">
        <v>6</v>
      </c>
      <c r="L26" s="3">
        <v>209</v>
      </c>
      <c r="M26" s="5">
        <v>3.5</v>
      </c>
      <c r="N26" s="5">
        <v>731.5</v>
      </c>
    </row>
    <row r="27" spans="1:14" x14ac:dyDescent="0.25">
      <c r="A27" s="1" t="s">
        <v>11</v>
      </c>
      <c r="B27" s="1" t="s">
        <v>1</v>
      </c>
      <c r="C27" s="3">
        <v>15.4</v>
      </c>
      <c r="D27" s="2">
        <v>41</v>
      </c>
      <c r="E27" s="2">
        <f>TabelaTianguá[[#This Row],[Qtde]]*TabelaTianguá[[#This Row],[Vl. Unitário]]</f>
        <v>631.4</v>
      </c>
      <c r="F27" s="7" t="str">
        <f>VLOOKUP(TabelaTianguá[[#This Row],[Código+Produto]],Base!A:C,3,0)</f>
        <v>contra file mp</v>
      </c>
      <c r="G27" s="8" t="str">
        <f>VLOOKUP(A27,Base!A:D,4,0)</f>
        <v>CARNES BOVINAS</v>
      </c>
      <c r="I27" s="10" t="s">
        <v>593</v>
      </c>
      <c r="J27" s="6" t="s">
        <v>596</v>
      </c>
      <c r="K27" s="6" t="s">
        <v>1</v>
      </c>
      <c r="L27" s="3">
        <v>20.399999999999999</v>
      </c>
      <c r="M27" s="5">
        <v>22.689450000000001</v>
      </c>
      <c r="N27" s="5">
        <v>467.18143000000003</v>
      </c>
    </row>
    <row r="28" spans="1:14" x14ac:dyDescent="0.25">
      <c r="A28" s="1" t="s">
        <v>11</v>
      </c>
      <c r="B28" s="1" t="s">
        <v>1</v>
      </c>
      <c r="C28" s="3">
        <v>8.4</v>
      </c>
      <c r="D28" s="2">
        <v>41</v>
      </c>
      <c r="E28" s="2">
        <f>TabelaTianguá[[#This Row],[Qtde]]*TabelaTianguá[[#This Row],[Vl. Unitário]]</f>
        <v>344.40000000000003</v>
      </c>
      <c r="F28" s="40" t="str">
        <f>VLOOKUP(TabelaTianguá[[#This Row],[Código+Produto]],Base!A:C,3,0)</f>
        <v>contra file mp</v>
      </c>
      <c r="G28" s="8" t="str">
        <f>VLOOKUP(A28,Base!A:D,4,0)</f>
        <v>CARNES BOVINAS</v>
      </c>
      <c r="I28" s="10" t="s">
        <v>593</v>
      </c>
      <c r="J28" s="6" t="s">
        <v>595</v>
      </c>
      <c r="K28" s="6" t="s">
        <v>1</v>
      </c>
      <c r="L28" s="3">
        <v>14</v>
      </c>
      <c r="M28" s="5">
        <v>8.31</v>
      </c>
      <c r="N28" s="5">
        <v>116.34</v>
      </c>
    </row>
    <row r="29" spans="1:14" x14ac:dyDescent="0.25">
      <c r="A29" s="1" t="s">
        <v>11</v>
      </c>
      <c r="B29" s="1" t="s">
        <v>1</v>
      </c>
      <c r="C29" s="3">
        <v>11</v>
      </c>
      <c r="D29" s="2">
        <v>39.89</v>
      </c>
      <c r="E29" s="2">
        <f>TabelaTianguá[[#This Row],[Qtde]]*TabelaTianguá[[#This Row],[Vl. Unitário]]</f>
        <v>438.79</v>
      </c>
      <c r="F29" s="40" t="str">
        <f>VLOOKUP(TabelaTianguá[[#This Row],[Código+Produto]],Base!A:C,3,0)</f>
        <v>contra file mp</v>
      </c>
      <c r="G29" s="8" t="str">
        <f>VLOOKUP(A29,Base!A:D,4,0)</f>
        <v>CARNES BOVINAS</v>
      </c>
      <c r="I29" s="9"/>
      <c r="J29" s="10"/>
      <c r="K29" s="10"/>
      <c r="L29" s="3"/>
      <c r="M29" s="5"/>
      <c r="N29" s="5"/>
    </row>
    <row r="30" spans="1:14" x14ac:dyDescent="0.25">
      <c r="A30" s="1" t="s">
        <v>11</v>
      </c>
      <c r="B30" s="1" t="s">
        <v>1</v>
      </c>
      <c r="C30" s="3">
        <v>17.5</v>
      </c>
      <c r="D30" s="2">
        <v>39.89</v>
      </c>
      <c r="E30" s="2">
        <f>TabelaTianguá[[#This Row],[Qtde]]*TabelaTianguá[[#This Row],[Vl. Unitário]]</f>
        <v>698.07500000000005</v>
      </c>
      <c r="F30" s="40" t="str">
        <f>VLOOKUP(TabelaTianguá[[#This Row],[Código+Produto]],Base!A:C,3,0)</f>
        <v>contra file mp</v>
      </c>
      <c r="G30" s="8" t="str">
        <f>VLOOKUP(A30,Base!A:D,4,0)</f>
        <v>CARNES BOVINAS</v>
      </c>
      <c r="I30" s="9" t="s">
        <v>605</v>
      </c>
      <c r="J30" s="6" t="s">
        <v>622</v>
      </c>
      <c r="K30" s="6" t="s">
        <v>1</v>
      </c>
      <c r="L30" s="3">
        <v>50.400000000000006</v>
      </c>
      <c r="M30" s="5">
        <v>10.721633333333335</v>
      </c>
      <c r="N30" s="5">
        <v>540.37031999999999</v>
      </c>
    </row>
    <row r="31" spans="1:14" x14ac:dyDescent="0.25">
      <c r="A31" s="1" t="s">
        <v>11</v>
      </c>
      <c r="B31" s="1" t="s">
        <v>1</v>
      </c>
      <c r="C31" s="3">
        <v>17</v>
      </c>
      <c r="D31" s="2">
        <v>39</v>
      </c>
      <c r="E31" s="2">
        <f>TabelaTianguá[[#This Row],[Qtde]]*TabelaTianguá[[#This Row],[Vl. Unitário]]</f>
        <v>663</v>
      </c>
      <c r="F31" s="40" t="str">
        <f>VLOOKUP(TabelaTianguá[[#This Row],[Código+Produto]],Base!A:C,3,0)</f>
        <v>contra file mp</v>
      </c>
      <c r="G31" s="8" t="str">
        <f>VLOOKUP(A31,Base!A:D,4,0)</f>
        <v>CARNES BOVINAS</v>
      </c>
      <c r="I31" s="10" t="s">
        <v>605</v>
      </c>
      <c r="J31" s="6" t="s">
        <v>615</v>
      </c>
      <c r="K31" s="6" t="s">
        <v>1</v>
      </c>
      <c r="L31" s="3">
        <v>50.100000000000009</v>
      </c>
      <c r="M31" s="5">
        <v>6.5</v>
      </c>
      <c r="N31" s="5">
        <v>325.65000000000003</v>
      </c>
    </row>
    <row r="32" spans="1:14" x14ac:dyDescent="0.25">
      <c r="A32" s="1" t="s">
        <v>12</v>
      </c>
      <c r="B32" s="1" t="s">
        <v>1</v>
      </c>
      <c r="C32" s="3">
        <v>5.45</v>
      </c>
      <c r="D32" s="2">
        <v>65</v>
      </c>
      <c r="E32" s="2">
        <f>TabelaTianguá[[#This Row],[Qtde]]*TabelaTianguá[[#This Row],[Vl. Unitário]]</f>
        <v>354.25</v>
      </c>
      <c r="F32" s="7" t="str">
        <f>VLOOKUP(TabelaTianguá[[#This Row],[Código+Produto]],Base!A:C,3,0)</f>
        <v>file mignon mp</v>
      </c>
      <c r="G32" s="8" t="str">
        <f>VLOOKUP(A32,Base!A:D,4,0)</f>
        <v>CARNES BOVINAS</v>
      </c>
      <c r="I32" s="10" t="s">
        <v>605</v>
      </c>
      <c r="J32" s="6" t="s">
        <v>607</v>
      </c>
      <c r="K32" s="6" t="s">
        <v>1</v>
      </c>
      <c r="L32" s="3">
        <v>80</v>
      </c>
      <c r="M32" s="5">
        <v>3.8000000000000003</v>
      </c>
      <c r="N32" s="5">
        <v>304.5</v>
      </c>
    </row>
    <row r="33" spans="1:14" x14ac:dyDescent="0.25">
      <c r="A33" s="1" t="s">
        <v>12</v>
      </c>
      <c r="B33" s="1" t="s">
        <v>1</v>
      </c>
      <c r="C33" s="3">
        <v>5.35</v>
      </c>
      <c r="D33" s="2">
        <v>65</v>
      </c>
      <c r="E33" s="2">
        <f>TabelaTianguá[[#This Row],[Qtde]]*TabelaTianguá[[#This Row],[Vl. Unitário]]</f>
        <v>347.75</v>
      </c>
      <c r="F33" s="7" t="str">
        <f>VLOOKUP(TabelaTianguá[[#This Row],[Código+Produto]],Base!A:C,3,0)</f>
        <v>file mignon mp</v>
      </c>
      <c r="G33" s="8" t="str">
        <f>VLOOKUP(A33,Base!A:D,4,0)</f>
        <v>CARNES BOVINAS</v>
      </c>
      <c r="I33" s="10" t="s">
        <v>605</v>
      </c>
      <c r="J33" s="6" t="s">
        <v>609</v>
      </c>
      <c r="K33" s="6" t="s">
        <v>1</v>
      </c>
      <c r="L33" s="3">
        <v>8</v>
      </c>
      <c r="M33" s="5">
        <v>12.634733333333335</v>
      </c>
      <c r="N33" s="5">
        <v>101.9884</v>
      </c>
    </row>
    <row r="34" spans="1:14" x14ac:dyDescent="0.25">
      <c r="A34" s="1" t="s">
        <v>12</v>
      </c>
      <c r="B34" s="1" t="s">
        <v>1</v>
      </c>
      <c r="C34" s="3">
        <v>11.5</v>
      </c>
      <c r="D34" s="2">
        <v>65</v>
      </c>
      <c r="E34" s="2">
        <f>TabelaTianguá[[#This Row],[Qtde]]*TabelaTianguá[[#This Row],[Vl. Unitário]]</f>
        <v>747.5</v>
      </c>
      <c r="F34" s="7" t="str">
        <f>VLOOKUP(TabelaTianguá[[#This Row],[Código+Produto]],Base!A:C,3,0)</f>
        <v>file mignon mp</v>
      </c>
      <c r="G34" s="8" t="str">
        <f>VLOOKUP(A34,Base!A:D,4,0)</f>
        <v>CARNES BOVINAS</v>
      </c>
      <c r="I34" s="10" t="s">
        <v>605</v>
      </c>
      <c r="J34" s="6" t="s">
        <v>623</v>
      </c>
      <c r="K34" s="6" t="s">
        <v>1</v>
      </c>
      <c r="L34" s="3">
        <v>12.5</v>
      </c>
      <c r="M34" s="5">
        <v>8</v>
      </c>
      <c r="N34" s="5">
        <v>100</v>
      </c>
    </row>
    <row r="35" spans="1:14" x14ac:dyDescent="0.25">
      <c r="A35" s="1" t="s">
        <v>12</v>
      </c>
      <c r="B35" s="1" t="s">
        <v>1</v>
      </c>
      <c r="C35" s="3">
        <v>4.0999999999999996</v>
      </c>
      <c r="D35" s="2">
        <v>65</v>
      </c>
      <c r="E35" s="2">
        <f>TabelaTianguá[[#This Row],[Qtde]]*TabelaTianguá[[#This Row],[Vl. Unitário]]</f>
        <v>266.5</v>
      </c>
      <c r="F35" s="7" t="str">
        <f>VLOOKUP(TabelaTianguá[[#This Row],[Código+Produto]],Base!A:C,3,0)</f>
        <v>file mignon mp</v>
      </c>
      <c r="G35" s="8" t="str">
        <f>VLOOKUP(A35,Base!A:D,4,0)</f>
        <v>CARNES BOVINAS</v>
      </c>
      <c r="I35" s="10" t="s">
        <v>605</v>
      </c>
      <c r="J35" s="6" t="s">
        <v>613</v>
      </c>
      <c r="K35" s="6" t="s">
        <v>1</v>
      </c>
      <c r="L35" s="3">
        <v>14.15</v>
      </c>
      <c r="M35" s="5">
        <v>7</v>
      </c>
      <c r="N35" s="5">
        <v>99.050000000000011</v>
      </c>
    </row>
    <row r="36" spans="1:14" x14ac:dyDescent="0.25">
      <c r="A36" s="1" t="s">
        <v>12</v>
      </c>
      <c r="B36" s="1" t="s">
        <v>1</v>
      </c>
      <c r="C36" s="3">
        <v>5</v>
      </c>
      <c r="D36" s="2">
        <v>64.990200000000002</v>
      </c>
      <c r="E36" s="2">
        <f>TabelaTianguá[[#This Row],[Qtde]]*TabelaTianguá[[#This Row],[Vl. Unitário]]</f>
        <v>324.95100000000002</v>
      </c>
      <c r="F36" s="7" t="str">
        <f>VLOOKUP(TabelaTianguá[[#This Row],[Código+Produto]],Base!A:C,3,0)</f>
        <v>file mignon mp</v>
      </c>
      <c r="G36" s="8" t="str">
        <f>VLOOKUP(A36,Base!A:D,4,0)</f>
        <v>CARNES BOVINAS</v>
      </c>
      <c r="I36" s="10" t="s">
        <v>605</v>
      </c>
      <c r="J36" s="6" t="s">
        <v>619</v>
      </c>
      <c r="K36" s="6" t="s">
        <v>1</v>
      </c>
      <c r="L36" s="3">
        <v>6.8</v>
      </c>
      <c r="M36" s="5">
        <v>7.0591999999999997</v>
      </c>
      <c r="N36" s="5">
        <v>48.002559999999995</v>
      </c>
    </row>
    <row r="37" spans="1:14" x14ac:dyDescent="0.25">
      <c r="A37" s="1" t="s">
        <v>12</v>
      </c>
      <c r="B37" s="1" t="s">
        <v>1</v>
      </c>
      <c r="C37" s="3">
        <v>2.5</v>
      </c>
      <c r="D37" s="2">
        <v>64.990200000000002</v>
      </c>
      <c r="E37" s="2">
        <f>TabelaTianguá[[#This Row],[Qtde]]*TabelaTianguá[[#This Row],[Vl. Unitário]]</f>
        <v>162.47550000000001</v>
      </c>
      <c r="F37" s="7" t="str">
        <f>VLOOKUP(TabelaTianguá[[#This Row],[Código+Produto]],Base!A:C,3,0)</f>
        <v>file mignon mp</v>
      </c>
      <c r="G37" s="8" t="str">
        <f>VLOOKUP(A37,Base!A:D,4,0)</f>
        <v>CARNES BOVINAS</v>
      </c>
      <c r="I37" s="10" t="s">
        <v>605</v>
      </c>
      <c r="J37" s="6" t="s">
        <v>621</v>
      </c>
      <c r="K37" s="6" t="s">
        <v>43</v>
      </c>
      <c r="L37" s="3">
        <v>14</v>
      </c>
      <c r="M37" s="5">
        <v>2.99</v>
      </c>
      <c r="N37" s="5">
        <v>41.86</v>
      </c>
    </row>
    <row r="38" spans="1:14" x14ac:dyDescent="0.25">
      <c r="A38" s="1" t="s">
        <v>12</v>
      </c>
      <c r="B38" s="1" t="s">
        <v>1</v>
      </c>
      <c r="C38" s="3">
        <v>1.65</v>
      </c>
      <c r="D38" s="2">
        <v>64.990200000000002</v>
      </c>
      <c r="E38" s="2">
        <f>TabelaTianguá[[#This Row],[Qtde]]*TabelaTianguá[[#This Row],[Vl. Unitário]]</f>
        <v>107.23383</v>
      </c>
      <c r="F38" s="7" t="str">
        <f>VLOOKUP(TabelaTianguá[[#This Row],[Código+Produto]],Base!A:C,3,0)</f>
        <v>file mignon mp</v>
      </c>
      <c r="G38" s="8" t="str">
        <f>VLOOKUP(A38,Base!A:D,4,0)</f>
        <v>CARNES BOVINAS</v>
      </c>
      <c r="I38" s="10" t="s">
        <v>605</v>
      </c>
      <c r="J38" s="6" t="s">
        <v>606</v>
      </c>
      <c r="K38" s="6" t="s">
        <v>1</v>
      </c>
      <c r="L38" s="3">
        <v>9</v>
      </c>
      <c r="M38" s="5">
        <v>4.57</v>
      </c>
      <c r="N38" s="5">
        <v>41.13</v>
      </c>
    </row>
    <row r="39" spans="1:14" x14ac:dyDescent="0.25">
      <c r="A39" s="1" t="s">
        <v>12</v>
      </c>
      <c r="B39" s="1" t="s">
        <v>1</v>
      </c>
      <c r="C39" s="3">
        <v>2.65</v>
      </c>
      <c r="D39" s="2">
        <v>64.990200000000002</v>
      </c>
      <c r="E39" s="2">
        <f>TabelaTianguá[[#This Row],[Qtde]]*TabelaTianguá[[#This Row],[Vl. Unitário]]</f>
        <v>172.22403</v>
      </c>
      <c r="F39" s="7" t="str">
        <f>VLOOKUP(TabelaTianguá[[#This Row],[Código+Produto]],Base!A:C,3,0)</f>
        <v>file mignon mp</v>
      </c>
      <c r="G39" s="8" t="str">
        <f>VLOOKUP(A39,Base!A:D,4,0)</f>
        <v>CARNES BOVINAS</v>
      </c>
      <c r="I39" s="10" t="s">
        <v>605</v>
      </c>
      <c r="J39" s="6" t="s">
        <v>629</v>
      </c>
      <c r="K39" s="6" t="s">
        <v>10</v>
      </c>
      <c r="L39" s="3">
        <v>12</v>
      </c>
      <c r="M39" s="5">
        <v>1.46</v>
      </c>
      <c r="N39" s="5">
        <v>17.52</v>
      </c>
    </row>
    <row r="40" spans="1:14" x14ac:dyDescent="0.25">
      <c r="A40" s="1" t="s">
        <v>12</v>
      </c>
      <c r="B40" s="1" t="s">
        <v>1</v>
      </c>
      <c r="C40" s="3">
        <v>2.7</v>
      </c>
      <c r="D40" s="2">
        <v>65</v>
      </c>
      <c r="E40" s="2">
        <f>TabelaTianguá[[#This Row],[Qtde]]*TabelaTianguá[[#This Row],[Vl. Unitário]]</f>
        <v>175.5</v>
      </c>
      <c r="F40" s="7" t="str">
        <f>VLOOKUP(TabelaTianguá[[#This Row],[Código+Produto]],Base!A:C,3,0)</f>
        <v>file mignon mp</v>
      </c>
      <c r="G40" s="8" t="str">
        <f>VLOOKUP(A40,Base!A:D,4,0)</f>
        <v>CARNES BOVINAS</v>
      </c>
      <c r="I40" s="10" t="s">
        <v>605</v>
      </c>
      <c r="J40" s="6" t="s">
        <v>604</v>
      </c>
      <c r="K40" s="6" t="s">
        <v>1</v>
      </c>
      <c r="L40" s="3">
        <v>5</v>
      </c>
      <c r="M40" s="5">
        <v>3</v>
      </c>
      <c r="N40" s="5">
        <v>15</v>
      </c>
    </row>
    <row r="41" spans="1:14" x14ac:dyDescent="0.25">
      <c r="A41" s="1" t="s">
        <v>12</v>
      </c>
      <c r="B41" s="1" t="s">
        <v>1</v>
      </c>
      <c r="C41" s="3">
        <v>2.2999999999999998</v>
      </c>
      <c r="D41" s="2">
        <v>65</v>
      </c>
      <c r="E41" s="2">
        <f>TabelaTianguá[[#This Row],[Qtde]]*TabelaTianguá[[#This Row],[Vl. Unitário]]</f>
        <v>149.5</v>
      </c>
      <c r="F41" s="40" t="str">
        <f>VLOOKUP(TabelaTianguá[[#This Row],[Código+Produto]],Base!A:C,3,0)</f>
        <v>file mignon mp</v>
      </c>
      <c r="G41" s="8" t="str">
        <f>VLOOKUP(A41,Base!A:D,4,0)</f>
        <v>CARNES BOVINAS</v>
      </c>
      <c r="I41" s="9"/>
      <c r="J41" s="10"/>
      <c r="K41" s="10"/>
      <c r="L41" s="3"/>
      <c r="M41" s="5"/>
      <c r="N41" s="5"/>
    </row>
    <row r="42" spans="1:14" x14ac:dyDescent="0.25">
      <c r="A42" s="1" t="s">
        <v>12</v>
      </c>
      <c r="B42" s="1" t="s">
        <v>1</v>
      </c>
      <c r="C42" s="3">
        <v>3.15</v>
      </c>
      <c r="D42" s="2">
        <v>65</v>
      </c>
      <c r="E42" s="2">
        <f>TabelaTianguá[[#This Row],[Qtde]]*TabelaTianguá[[#This Row],[Vl. Unitário]]</f>
        <v>204.75</v>
      </c>
      <c r="F42" s="40" t="str">
        <f>VLOOKUP(TabelaTianguá[[#This Row],[Código+Produto]],Base!A:C,3,0)</f>
        <v>file mignon mp</v>
      </c>
      <c r="G42" s="8" t="str">
        <f>VLOOKUP(A42,Base!A:D,4,0)</f>
        <v>CARNES BOVINAS</v>
      </c>
      <c r="I42" s="9" t="s">
        <v>562</v>
      </c>
      <c r="J42" s="6" t="s">
        <v>565</v>
      </c>
      <c r="K42" s="6" t="s">
        <v>1</v>
      </c>
      <c r="L42" s="3">
        <v>70</v>
      </c>
      <c r="M42" s="5">
        <v>17.624000000000002</v>
      </c>
      <c r="N42" s="5">
        <v>1239.25</v>
      </c>
    </row>
    <row r="43" spans="1:14" x14ac:dyDescent="0.25">
      <c r="A43" s="1" t="s">
        <v>1193</v>
      </c>
      <c r="B43" s="1" t="s">
        <v>1</v>
      </c>
      <c r="C43" s="3">
        <v>2</v>
      </c>
      <c r="D43" s="2">
        <v>92.170400000000001</v>
      </c>
      <c r="E43" s="2">
        <f>TabelaTianguá[[#This Row],[Qtde]]*TabelaTianguá[[#This Row],[Vl. Unitário]]</f>
        <v>184.3408</v>
      </c>
      <c r="F43" s="7" t="str">
        <f>VLOOKUP(TabelaTianguá[[#This Row],[Código+Produto]],Base!A:C,3,0)</f>
        <v>picanha importada mp</v>
      </c>
      <c r="G43" s="8" t="str">
        <f>VLOOKUP(A43,Base!A:D,4,0)</f>
        <v>CARNES BOVINAS</v>
      </c>
      <c r="I43" s="10" t="s">
        <v>562</v>
      </c>
      <c r="J43" s="6" t="s">
        <v>564</v>
      </c>
      <c r="K43" s="6" t="s">
        <v>1</v>
      </c>
      <c r="L43" s="3">
        <v>8.4499999999999993</v>
      </c>
      <c r="M43" s="5">
        <v>22.483333333333334</v>
      </c>
      <c r="N43" s="5">
        <v>186.99299999999999</v>
      </c>
    </row>
    <row r="44" spans="1:14" x14ac:dyDescent="0.25">
      <c r="A44" s="1" t="s">
        <v>1193</v>
      </c>
      <c r="B44" s="1" t="s">
        <v>1</v>
      </c>
      <c r="C44" s="3">
        <v>5.15</v>
      </c>
      <c r="D44" s="2">
        <v>92.170400000000001</v>
      </c>
      <c r="E44" s="2">
        <f>TabelaTianguá[[#This Row],[Qtde]]*TabelaTianguá[[#This Row],[Vl. Unitário]]</f>
        <v>474.67756000000003</v>
      </c>
      <c r="F44" s="7" t="str">
        <f>VLOOKUP(TabelaTianguá[[#This Row],[Código+Produto]],Base!A:C,3,0)</f>
        <v>picanha importada mp</v>
      </c>
      <c r="G44" s="8" t="str">
        <f>VLOOKUP(A44,Base!A:D,4,0)</f>
        <v>CARNES BOVINAS</v>
      </c>
      <c r="I44" s="10" t="s">
        <v>562</v>
      </c>
      <c r="J44" s="6" t="s">
        <v>563</v>
      </c>
      <c r="K44" s="6" t="s">
        <v>1</v>
      </c>
      <c r="L44" s="3">
        <v>10</v>
      </c>
      <c r="M44" s="5">
        <v>7.09</v>
      </c>
      <c r="N44" s="5">
        <v>70.900000000000006</v>
      </c>
    </row>
    <row r="45" spans="1:14" x14ac:dyDescent="0.25">
      <c r="A45" s="1" t="s">
        <v>1193</v>
      </c>
      <c r="B45" s="1" t="s">
        <v>1</v>
      </c>
      <c r="C45" s="3">
        <v>4.2</v>
      </c>
      <c r="D45" s="2">
        <v>92.170400000000001</v>
      </c>
      <c r="E45" s="2">
        <f>TabelaTianguá[[#This Row],[Qtde]]*TabelaTianguá[[#This Row],[Vl. Unitário]]</f>
        <v>387.11568</v>
      </c>
      <c r="F45" s="7" t="str">
        <f>VLOOKUP(TabelaTianguá[[#This Row],[Código+Produto]],Base!A:C,3,0)</f>
        <v>picanha importada mp</v>
      </c>
      <c r="G45" s="8" t="str">
        <f>VLOOKUP(A45,Base!A:D,4,0)</f>
        <v>CARNES BOVINAS</v>
      </c>
      <c r="I45" s="9"/>
      <c r="J45" s="10"/>
      <c r="K45" s="10"/>
      <c r="L45" s="3"/>
      <c r="M45" s="5"/>
      <c r="N45" s="5"/>
    </row>
    <row r="46" spans="1:14" x14ac:dyDescent="0.25">
      <c r="A46" s="1" t="s">
        <v>1193</v>
      </c>
      <c r="B46" s="1" t="s">
        <v>1</v>
      </c>
      <c r="C46" s="3">
        <v>9.4499999999999993</v>
      </c>
      <c r="D46" s="2">
        <v>92.168000000000006</v>
      </c>
      <c r="E46" s="2">
        <f>TabelaTianguá[[#This Row],[Qtde]]*TabelaTianguá[[#This Row],[Vl. Unitário]]</f>
        <v>870.98760000000004</v>
      </c>
      <c r="F46" s="7" t="str">
        <f>VLOOKUP(TabelaTianguá[[#This Row],[Código+Produto]],Base!A:C,3,0)</f>
        <v>picanha importada mp</v>
      </c>
      <c r="G46" s="8" t="str">
        <f>VLOOKUP(A46,Base!A:D,4,0)</f>
        <v>CARNES BOVINAS</v>
      </c>
      <c r="I46" s="9" t="s">
        <v>575</v>
      </c>
      <c r="J46" s="6" t="s">
        <v>579</v>
      </c>
      <c r="K46" s="6" t="s">
        <v>1</v>
      </c>
      <c r="L46" s="3">
        <v>109.69999999999999</v>
      </c>
      <c r="M46" s="5">
        <v>7</v>
      </c>
      <c r="N46" s="5">
        <v>767.90000000000009</v>
      </c>
    </row>
    <row r="47" spans="1:14" x14ac:dyDescent="0.25">
      <c r="A47" s="1" t="s">
        <v>1193</v>
      </c>
      <c r="B47" s="1" t="s">
        <v>1</v>
      </c>
      <c r="C47" s="3">
        <v>4.45</v>
      </c>
      <c r="D47" s="2">
        <v>92.168000000000006</v>
      </c>
      <c r="E47" s="2">
        <f>TabelaTianguá[[#This Row],[Qtde]]*TabelaTianguá[[#This Row],[Vl. Unitário]]</f>
        <v>410.14760000000007</v>
      </c>
      <c r="F47" s="7" t="str">
        <f>VLOOKUP(TabelaTianguá[[#This Row],[Código+Produto]],Base!A:C,3,0)</f>
        <v>picanha importada mp</v>
      </c>
      <c r="G47" s="8" t="str">
        <f>VLOOKUP(A47,Base!A:D,4,0)</f>
        <v>CARNES BOVINAS</v>
      </c>
      <c r="I47" s="10" t="s">
        <v>575</v>
      </c>
      <c r="J47" s="6" t="s">
        <v>581</v>
      </c>
      <c r="K47" s="6" t="s">
        <v>1</v>
      </c>
      <c r="L47" s="3">
        <v>37.430000000000007</v>
      </c>
      <c r="M47" s="5">
        <v>4</v>
      </c>
      <c r="N47" s="5">
        <v>149.72000000000003</v>
      </c>
    </row>
    <row r="48" spans="1:14" x14ac:dyDescent="0.25">
      <c r="A48" s="1" t="s">
        <v>1193</v>
      </c>
      <c r="B48" s="1" t="s">
        <v>1</v>
      </c>
      <c r="C48" s="3">
        <v>9.35</v>
      </c>
      <c r="D48" s="2">
        <v>96.048900000000003</v>
      </c>
      <c r="E48" s="2">
        <f>TabelaTianguá[[#This Row],[Qtde]]*TabelaTianguá[[#This Row],[Vl. Unitário]]</f>
        <v>898.05721500000004</v>
      </c>
      <c r="F48" s="7" t="str">
        <f>VLOOKUP(TabelaTianguá[[#This Row],[Código+Produto]],Base!A:C,3,0)</f>
        <v>picanha importada mp</v>
      </c>
      <c r="G48" s="8" t="str">
        <f>VLOOKUP(A48,Base!A:D,4,0)</f>
        <v>CARNES BOVINAS</v>
      </c>
      <c r="I48" s="10" t="s">
        <v>575</v>
      </c>
      <c r="J48" s="6" t="s">
        <v>578</v>
      </c>
      <c r="K48" s="6" t="s">
        <v>1</v>
      </c>
      <c r="L48" s="3">
        <v>41.04999999999999</v>
      </c>
      <c r="M48" s="5">
        <v>2.9166666666666665</v>
      </c>
      <c r="N48" s="5">
        <v>121.5</v>
      </c>
    </row>
    <row r="49" spans="1:14" x14ac:dyDescent="0.25">
      <c r="A49" s="1" t="s">
        <v>1193</v>
      </c>
      <c r="B49" s="1" t="s">
        <v>1</v>
      </c>
      <c r="C49" s="3">
        <v>1.3</v>
      </c>
      <c r="D49" s="2">
        <v>96.048900000000003</v>
      </c>
      <c r="E49" s="2">
        <f>TabelaTianguá[[#This Row],[Qtde]]*TabelaTianguá[[#This Row],[Vl. Unitário]]</f>
        <v>124.86357000000001</v>
      </c>
      <c r="F49" s="7" t="str">
        <f>VLOOKUP(TabelaTianguá[[#This Row],[Código+Produto]],Base!A:C,3,0)</f>
        <v>picanha importada mp</v>
      </c>
      <c r="G49" s="8" t="str">
        <f>VLOOKUP(A49,Base!A:D,4,0)</f>
        <v>CARNES BOVINAS</v>
      </c>
      <c r="I49" s="10" t="s">
        <v>575</v>
      </c>
      <c r="J49" s="6" t="s">
        <v>591</v>
      </c>
      <c r="K49" s="6" t="s">
        <v>1</v>
      </c>
      <c r="L49" s="3">
        <v>29.4</v>
      </c>
      <c r="M49" s="5">
        <v>2.5</v>
      </c>
      <c r="N49" s="5">
        <v>73.5</v>
      </c>
    </row>
    <row r="50" spans="1:14" x14ac:dyDescent="0.25">
      <c r="A50" s="1" t="s">
        <v>1193</v>
      </c>
      <c r="B50" s="1" t="s">
        <v>1</v>
      </c>
      <c r="C50" s="3">
        <v>3.8</v>
      </c>
      <c r="D50" s="2">
        <v>92.168000000000006</v>
      </c>
      <c r="E50" s="2">
        <f>TabelaTianguá[[#This Row],[Qtde]]*TabelaTianguá[[#This Row],[Vl. Unitário]]</f>
        <v>350.23840000000001</v>
      </c>
      <c r="F50" s="7" t="str">
        <f>VLOOKUP(TabelaTianguá[[#This Row],[Código+Produto]],Base!A:C,3,0)</f>
        <v>picanha importada mp</v>
      </c>
      <c r="G50" s="8" t="str">
        <f>VLOOKUP(A50,Base!A:D,4,0)</f>
        <v>CARNES BOVINAS</v>
      </c>
      <c r="I50" s="10" t="s">
        <v>575</v>
      </c>
      <c r="J50" s="6" t="s">
        <v>584</v>
      </c>
      <c r="K50" s="6" t="s">
        <v>14</v>
      </c>
      <c r="L50" s="3">
        <v>18.13</v>
      </c>
      <c r="M50" s="5">
        <v>3.6111</v>
      </c>
      <c r="N50" s="5">
        <v>65.469243000000006</v>
      </c>
    </row>
    <row r="51" spans="1:14" x14ac:dyDescent="0.25">
      <c r="A51" s="1" t="s">
        <v>1193</v>
      </c>
      <c r="B51" s="1" t="s">
        <v>1</v>
      </c>
      <c r="C51" s="3">
        <v>6.7</v>
      </c>
      <c r="D51" s="2">
        <v>93.364199999999997</v>
      </c>
      <c r="E51" s="2">
        <f>TabelaTianguá[[#This Row],[Qtde]]*TabelaTianguá[[#This Row],[Vl. Unitário]]</f>
        <v>625.54013999999995</v>
      </c>
      <c r="F51" s="7" t="str">
        <f>VLOOKUP(TabelaTianguá[[#This Row],[Código+Produto]],Base!A:C,3,0)</f>
        <v>picanha importada mp</v>
      </c>
      <c r="G51" s="8" t="str">
        <f>VLOOKUP(A51,Base!A:D,4,0)</f>
        <v>CARNES BOVINAS</v>
      </c>
      <c r="I51" s="10" t="s">
        <v>575</v>
      </c>
      <c r="J51" s="6" t="s">
        <v>588</v>
      </c>
      <c r="K51" s="6" t="s">
        <v>1</v>
      </c>
      <c r="L51" s="3">
        <v>23.35</v>
      </c>
      <c r="M51" s="5">
        <v>2.7082999999999999</v>
      </c>
      <c r="N51" s="5">
        <v>63.238804999999999</v>
      </c>
    </row>
    <row r="52" spans="1:14" x14ac:dyDescent="0.25">
      <c r="A52" s="1" t="s">
        <v>1193</v>
      </c>
      <c r="B52" s="1" t="s">
        <v>1</v>
      </c>
      <c r="C52" s="3">
        <v>2.65</v>
      </c>
      <c r="D52" s="2">
        <v>93.364199999999997</v>
      </c>
      <c r="E52" s="2">
        <f>TabelaTianguá[[#This Row],[Qtde]]*TabelaTianguá[[#This Row],[Vl. Unitário]]</f>
        <v>247.41512999999998</v>
      </c>
      <c r="F52" s="40" t="str">
        <f>VLOOKUP(TabelaTianguá[[#This Row],[Código+Produto]],Base!A:C,3,0)</f>
        <v>picanha importada mp</v>
      </c>
      <c r="G52" s="8" t="str">
        <f>VLOOKUP(A52,Base!A:D,4,0)</f>
        <v>CARNES BOVINAS</v>
      </c>
      <c r="I52" s="10" t="s">
        <v>575</v>
      </c>
      <c r="J52" s="6" t="s">
        <v>589</v>
      </c>
      <c r="K52" s="6" t="s">
        <v>1</v>
      </c>
      <c r="L52" s="3">
        <v>5.4</v>
      </c>
      <c r="M52" s="5">
        <v>6.2868000000000004</v>
      </c>
      <c r="N52" s="5">
        <v>33.948720000000002</v>
      </c>
    </row>
    <row r="53" spans="1:14" x14ac:dyDescent="0.25">
      <c r="A53" s="1" t="s">
        <v>1193</v>
      </c>
      <c r="B53" s="1" t="s">
        <v>1</v>
      </c>
      <c r="C53" s="3">
        <v>8.1999999999999993</v>
      </c>
      <c r="D53" s="2">
        <v>93.0899</v>
      </c>
      <c r="E53" s="2">
        <f>TabelaTianguá[[#This Row],[Qtde]]*TabelaTianguá[[#This Row],[Vl. Unitário]]</f>
        <v>763.33717999999999</v>
      </c>
      <c r="F53" s="40" t="str">
        <f>VLOOKUP(TabelaTianguá[[#This Row],[Código+Produto]],Base!A:C,3,0)</f>
        <v>picanha importada mp</v>
      </c>
      <c r="G53" s="8" t="str">
        <f>VLOOKUP(A53,Base!A:D,4,0)</f>
        <v>CARNES BOVINAS</v>
      </c>
      <c r="I53" s="10" t="s">
        <v>575</v>
      </c>
      <c r="J53" s="6" t="s">
        <v>590</v>
      </c>
      <c r="K53" s="6" t="s">
        <v>1</v>
      </c>
      <c r="L53" s="3">
        <v>18</v>
      </c>
      <c r="M53" s="5">
        <v>1.7</v>
      </c>
      <c r="N53" s="5">
        <v>30.599999999999998</v>
      </c>
    </row>
    <row r="54" spans="1:14" x14ac:dyDescent="0.25">
      <c r="A54" s="1" t="s">
        <v>29</v>
      </c>
      <c r="B54" s="1" t="s">
        <v>1</v>
      </c>
      <c r="C54" s="3">
        <v>12</v>
      </c>
      <c r="D54" s="2">
        <v>12.9543</v>
      </c>
      <c r="E54" s="2">
        <f>TabelaTianguá[[#This Row],[Qtde]]*TabelaTianguá[[#This Row],[Vl. Unitário]]</f>
        <v>155.45159999999998</v>
      </c>
      <c r="F54" s="7" t="str">
        <f>VLOOKUP(TabelaTianguá[[#This Row],[Código+Produto]],Base!A:C,3,0)</f>
        <v>batata pre frita mp</v>
      </c>
      <c r="G54" s="8" t="str">
        <f>VLOOKUP(A54,Base!A:D,4,0)</f>
        <v>CONGELADOS</v>
      </c>
      <c r="I54" s="10" t="s">
        <v>575</v>
      </c>
      <c r="J54" s="6" t="s">
        <v>587</v>
      </c>
      <c r="K54" s="6" t="s">
        <v>1</v>
      </c>
      <c r="L54" s="3">
        <v>3.4</v>
      </c>
      <c r="M54" s="5">
        <v>8</v>
      </c>
      <c r="N54" s="5">
        <v>27.2</v>
      </c>
    </row>
    <row r="55" spans="1:14" x14ac:dyDescent="0.25">
      <c r="A55" s="1" t="s">
        <v>29</v>
      </c>
      <c r="B55" s="1" t="s">
        <v>1</v>
      </c>
      <c r="C55" s="3">
        <v>12</v>
      </c>
      <c r="D55" s="2">
        <v>12.9543</v>
      </c>
      <c r="E55" s="2">
        <f>TabelaTianguá[[#This Row],[Qtde]]*TabelaTianguá[[#This Row],[Vl. Unitário]]</f>
        <v>155.45159999999998</v>
      </c>
      <c r="F55" s="7" t="str">
        <f>VLOOKUP(TabelaTianguá[[#This Row],[Código+Produto]],Base!A:C,3,0)</f>
        <v>batata pre frita mp</v>
      </c>
      <c r="G55" s="8" t="str">
        <f>VLOOKUP(A55,Base!A:D,4,0)</f>
        <v>CONGELADOS</v>
      </c>
      <c r="I55" s="10" t="s">
        <v>575</v>
      </c>
      <c r="J55" s="6" t="s">
        <v>574</v>
      </c>
      <c r="K55" s="6" t="s">
        <v>1</v>
      </c>
      <c r="L55" s="3">
        <v>16.12</v>
      </c>
      <c r="M55" s="5">
        <v>1.5500000000000005</v>
      </c>
      <c r="N55" s="5">
        <v>24.986000000000004</v>
      </c>
    </row>
    <row r="56" spans="1:14" x14ac:dyDescent="0.25">
      <c r="A56" s="1" t="s">
        <v>29</v>
      </c>
      <c r="B56" s="1" t="s">
        <v>1</v>
      </c>
      <c r="C56" s="3">
        <v>12</v>
      </c>
      <c r="D56" s="2">
        <v>12.953900000000001</v>
      </c>
      <c r="E56" s="2">
        <f>TabelaTianguá[[#This Row],[Qtde]]*TabelaTianguá[[#This Row],[Vl. Unitário]]</f>
        <v>155.4468</v>
      </c>
      <c r="F56" s="7" t="str">
        <f>VLOOKUP(TabelaTianguá[[#This Row],[Código+Produto]],Base!A:C,3,0)</f>
        <v>batata pre frita mp</v>
      </c>
      <c r="G56" s="8" t="str">
        <f>VLOOKUP(A56,Base!A:D,4,0)</f>
        <v>CONGELADOS</v>
      </c>
      <c r="I56" s="10" t="s">
        <v>575</v>
      </c>
      <c r="J56" s="6" t="s">
        <v>586</v>
      </c>
      <c r="K56" s="6" t="s">
        <v>1</v>
      </c>
      <c r="L56" s="3">
        <v>15.55</v>
      </c>
      <c r="M56" s="5">
        <v>0.75</v>
      </c>
      <c r="N56" s="5">
        <v>11.6625</v>
      </c>
    </row>
    <row r="57" spans="1:14" x14ac:dyDescent="0.25">
      <c r="A57" s="1" t="s">
        <v>29</v>
      </c>
      <c r="B57" s="1" t="s">
        <v>1</v>
      </c>
      <c r="C57" s="3">
        <v>24</v>
      </c>
      <c r="D57" s="2">
        <v>12.953900000000001</v>
      </c>
      <c r="E57" s="2">
        <f>TabelaTianguá[[#This Row],[Qtde]]*TabelaTianguá[[#This Row],[Vl. Unitário]]</f>
        <v>310.89359999999999</v>
      </c>
      <c r="F57" s="7" t="str">
        <f>VLOOKUP(TabelaTianguá[[#This Row],[Código+Produto]],Base!A:C,3,0)</f>
        <v>batata pre frita mp</v>
      </c>
      <c r="G57" s="8" t="str">
        <f>VLOOKUP(A57,Base!A:D,4,0)</f>
        <v>CONGELADOS</v>
      </c>
      <c r="I57" s="10" t="s">
        <v>575</v>
      </c>
      <c r="J57" s="6" t="s">
        <v>585</v>
      </c>
      <c r="K57" s="6" t="s">
        <v>1</v>
      </c>
      <c r="L57" s="3">
        <v>2.85</v>
      </c>
      <c r="M57" s="5">
        <v>3.7837999999999998</v>
      </c>
      <c r="N57" s="5">
        <v>10.78383</v>
      </c>
    </row>
    <row r="58" spans="1:14" x14ac:dyDescent="0.25">
      <c r="A58" s="1" t="s">
        <v>29</v>
      </c>
      <c r="B58" s="1" t="s">
        <v>1</v>
      </c>
      <c r="C58" s="3">
        <v>12</v>
      </c>
      <c r="D58" s="2">
        <v>12.953900000000001</v>
      </c>
      <c r="E58" s="2">
        <f>TabelaTianguá[[#This Row],[Qtde]]*TabelaTianguá[[#This Row],[Vl. Unitário]]</f>
        <v>155.4468</v>
      </c>
      <c r="F58" s="7" t="str">
        <f>VLOOKUP(TabelaTianguá[[#This Row],[Código+Produto]],Base!A:C,3,0)</f>
        <v>batata pre frita mp</v>
      </c>
      <c r="G58" s="8" t="str">
        <f>VLOOKUP(A58,Base!A:D,4,0)</f>
        <v>CONGELADOS</v>
      </c>
      <c r="I58" s="9"/>
      <c r="J58" s="10"/>
      <c r="K58" s="10"/>
      <c r="L58" s="3"/>
      <c r="M58" s="5"/>
      <c r="N58" s="5"/>
    </row>
    <row r="59" spans="1:14" x14ac:dyDescent="0.25">
      <c r="A59" s="1" t="s">
        <v>29</v>
      </c>
      <c r="B59" s="1" t="s">
        <v>1</v>
      </c>
      <c r="C59" s="3">
        <v>12</v>
      </c>
      <c r="D59" s="2">
        <v>12.953900000000001</v>
      </c>
      <c r="E59" s="2">
        <f>TabelaTianguá[[#This Row],[Qtde]]*TabelaTianguá[[#This Row],[Vl. Unitário]]</f>
        <v>155.4468</v>
      </c>
      <c r="F59" s="7" t="str">
        <f>VLOOKUP(TabelaTianguá[[#This Row],[Código+Produto]],Base!A:C,3,0)</f>
        <v>batata pre frita mp</v>
      </c>
      <c r="G59" s="8" t="str">
        <f>VLOOKUP(A59,Base!A:D,4,0)</f>
        <v>CONGELADOS</v>
      </c>
      <c r="I59" s="9" t="s">
        <v>671</v>
      </c>
      <c r="J59" s="6" t="s">
        <v>697</v>
      </c>
      <c r="K59" s="6" t="s">
        <v>6</v>
      </c>
      <c r="L59" s="3">
        <v>97</v>
      </c>
      <c r="M59" s="5">
        <v>6.5579428571428569</v>
      </c>
      <c r="N59" s="5">
        <v>639.17880000000002</v>
      </c>
    </row>
    <row r="60" spans="1:14" x14ac:dyDescent="0.25">
      <c r="A60" s="1" t="s">
        <v>29</v>
      </c>
      <c r="B60" s="1" t="s">
        <v>1</v>
      </c>
      <c r="C60" s="3">
        <v>24</v>
      </c>
      <c r="D60" s="2">
        <v>10.596500000000001</v>
      </c>
      <c r="E60" s="2">
        <f>TabelaTianguá[[#This Row],[Qtde]]*TabelaTianguá[[#This Row],[Vl. Unitário]]</f>
        <v>254.31600000000003</v>
      </c>
      <c r="F60" s="7" t="str">
        <f>VLOOKUP(TabelaTianguá[[#This Row],[Código+Produto]],Base!A:C,3,0)</f>
        <v>batata pre frita mp</v>
      </c>
      <c r="G60" s="8" t="str">
        <f>VLOOKUP(A60,Base!A:D,4,0)</f>
        <v>CONGELADOS</v>
      </c>
      <c r="I60" s="10" t="s">
        <v>671</v>
      </c>
      <c r="J60" s="6" t="s">
        <v>847</v>
      </c>
      <c r="K60" s="6" t="s">
        <v>1</v>
      </c>
      <c r="L60" s="3">
        <v>54.6</v>
      </c>
      <c r="M60" s="5">
        <v>4.9016000000000011</v>
      </c>
      <c r="N60" s="5">
        <v>267.62736000000007</v>
      </c>
    </row>
    <row r="61" spans="1:14" x14ac:dyDescent="0.25">
      <c r="A61" s="1" t="s">
        <v>29</v>
      </c>
      <c r="B61" s="1" t="s">
        <v>1</v>
      </c>
      <c r="C61" s="3">
        <v>12</v>
      </c>
      <c r="D61" s="2">
        <v>10.596500000000001</v>
      </c>
      <c r="E61" s="2">
        <f>TabelaTianguá[[#This Row],[Qtde]]*TabelaTianguá[[#This Row],[Vl. Unitário]]</f>
        <v>127.15800000000002</v>
      </c>
      <c r="F61" s="7" t="str">
        <f>VLOOKUP(TabelaTianguá[[#This Row],[Código+Produto]],Base!A:C,3,0)</f>
        <v>batata pre frita mp</v>
      </c>
      <c r="G61" s="8" t="str">
        <f>VLOOKUP(A61,Base!A:D,4,0)</f>
        <v>CONGELADOS</v>
      </c>
      <c r="I61" s="10" t="s">
        <v>671</v>
      </c>
      <c r="J61" s="6" t="s">
        <v>695</v>
      </c>
      <c r="K61" s="6" t="s">
        <v>6</v>
      </c>
      <c r="L61" s="3">
        <v>29</v>
      </c>
      <c r="M61" s="5">
        <v>6.4595799999999999</v>
      </c>
      <c r="N61" s="5">
        <v>187.33339999999998</v>
      </c>
    </row>
    <row r="62" spans="1:14" x14ac:dyDescent="0.25">
      <c r="A62" s="1" t="s">
        <v>29</v>
      </c>
      <c r="B62" s="1" t="s">
        <v>1</v>
      </c>
      <c r="C62" s="3">
        <v>24</v>
      </c>
      <c r="D62" s="2">
        <v>12.953900000000001</v>
      </c>
      <c r="E62" s="2">
        <f>TabelaTianguá[[#This Row],[Qtde]]*TabelaTianguá[[#This Row],[Vl. Unitário]]</f>
        <v>310.89359999999999</v>
      </c>
      <c r="F62" s="7" t="str">
        <f>VLOOKUP(TabelaTianguá[[#This Row],[Código+Produto]],Base!A:C,3,0)</f>
        <v>batata pre frita mp</v>
      </c>
      <c r="G62" s="8" t="str">
        <f>VLOOKUP(A62,Base!A:D,4,0)</f>
        <v>CONGELADOS</v>
      </c>
      <c r="I62" s="10" t="s">
        <v>671</v>
      </c>
      <c r="J62" s="6" t="s">
        <v>758</v>
      </c>
      <c r="K62" s="6" t="s">
        <v>1</v>
      </c>
      <c r="L62" s="3">
        <v>11.399999999999999</v>
      </c>
      <c r="M62" s="5">
        <v>5.333333333333333</v>
      </c>
      <c r="N62" s="5">
        <v>61.899999999999991</v>
      </c>
    </row>
    <row r="63" spans="1:14" x14ac:dyDescent="0.25">
      <c r="A63" s="1" t="s">
        <v>29</v>
      </c>
      <c r="B63" s="1" t="s">
        <v>1</v>
      </c>
      <c r="C63" s="3">
        <v>12</v>
      </c>
      <c r="D63" s="2">
        <v>12.953900000000001</v>
      </c>
      <c r="E63" s="2">
        <f>TabelaTianguá[[#This Row],[Qtde]]*TabelaTianguá[[#This Row],[Vl. Unitário]]</f>
        <v>155.4468</v>
      </c>
      <c r="F63" s="7" t="str">
        <f>VLOOKUP(TabelaTianguá[[#This Row],[Código+Produto]],Base!A:C,3,0)</f>
        <v>batata pre frita mp</v>
      </c>
      <c r="G63" s="8" t="str">
        <f>VLOOKUP(A63,Base!A:D,4,0)</f>
        <v>CONGELADOS</v>
      </c>
      <c r="I63" s="10" t="s">
        <v>671</v>
      </c>
      <c r="J63" s="6" t="s">
        <v>698</v>
      </c>
      <c r="K63" s="6" t="s">
        <v>6</v>
      </c>
      <c r="L63" s="3">
        <v>7.5</v>
      </c>
      <c r="M63" s="5">
        <v>5.5</v>
      </c>
      <c r="N63" s="5">
        <v>43</v>
      </c>
    </row>
    <row r="64" spans="1:14" x14ac:dyDescent="0.25">
      <c r="A64" s="1" t="s">
        <v>29</v>
      </c>
      <c r="B64" s="1" t="s">
        <v>1</v>
      </c>
      <c r="C64" s="3">
        <v>12</v>
      </c>
      <c r="D64" s="2">
        <v>10.199999999999999</v>
      </c>
      <c r="E64" s="2">
        <f>TabelaTianguá[[#This Row],[Qtde]]*TabelaTianguá[[#This Row],[Vl. Unitário]]</f>
        <v>122.39999999999999</v>
      </c>
      <c r="F64" s="7" t="str">
        <f>VLOOKUP(TabelaTianguá[[#This Row],[Código+Produto]],Base!A:C,3,0)</f>
        <v>batata pre frita mp</v>
      </c>
      <c r="G64" s="8" t="str">
        <f>VLOOKUP(A64,Base!A:D,4,0)</f>
        <v>CONGELADOS</v>
      </c>
      <c r="I64" s="10" t="s">
        <v>671</v>
      </c>
      <c r="J64" s="6" t="s">
        <v>759</v>
      </c>
      <c r="K64" s="6" t="s">
        <v>1</v>
      </c>
      <c r="L64" s="3">
        <v>4.5</v>
      </c>
      <c r="M64" s="5">
        <v>9.2658000000000005</v>
      </c>
      <c r="N64" s="5">
        <v>41.696100000000001</v>
      </c>
    </row>
    <row r="65" spans="1:14" x14ac:dyDescent="0.25">
      <c r="A65" s="1" t="s">
        <v>29</v>
      </c>
      <c r="B65" s="1" t="s">
        <v>1</v>
      </c>
      <c r="C65" s="3">
        <v>28</v>
      </c>
      <c r="D65" s="2">
        <v>11.799300000000001</v>
      </c>
      <c r="E65" s="2">
        <f>TabelaTianguá[[#This Row],[Qtde]]*TabelaTianguá[[#This Row],[Vl. Unitário]]</f>
        <v>330.38040000000001</v>
      </c>
      <c r="F65" s="7" t="str">
        <f>VLOOKUP(TabelaTianguá[[#This Row],[Código+Produto]],Base!A:C,3,0)</f>
        <v>batata pre frita mp</v>
      </c>
      <c r="G65" s="8" t="str">
        <f>VLOOKUP(A65,Base!A:D,4,0)</f>
        <v>CONGELADOS</v>
      </c>
      <c r="I65" s="10" t="s">
        <v>671</v>
      </c>
      <c r="J65" s="6" t="s">
        <v>692</v>
      </c>
      <c r="K65" s="6" t="s">
        <v>1</v>
      </c>
      <c r="L65" s="3">
        <v>7.2</v>
      </c>
      <c r="M65" s="5">
        <v>3.6436000000000002</v>
      </c>
      <c r="N65" s="5">
        <v>26.172719999999998</v>
      </c>
    </row>
    <row r="66" spans="1:14" x14ac:dyDescent="0.25">
      <c r="A66" s="1" t="s">
        <v>29</v>
      </c>
      <c r="B66" s="1" t="s">
        <v>1</v>
      </c>
      <c r="C66" s="3">
        <v>12</v>
      </c>
      <c r="D66" s="2">
        <v>11.799300000000001</v>
      </c>
      <c r="E66" s="2">
        <f>TabelaTianguá[[#This Row],[Qtde]]*TabelaTianguá[[#This Row],[Vl. Unitário]]</f>
        <v>141.5916</v>
      </c>
      <c r="F66" s="40" t="str">
        <f>VLOOKUP(TabelaTianguá[[#This Row],[Código+Produto]],Base!A:C,3,0)</f>
        <v>batata pre frita mp</v>
      </c>
      <c r="G66" s="8" t="str">
        <f>VLOOKUP(A66,Base!A:D,4,0)</f>
        <v>CONGELADOS</v>
      </c>
      <c r="I66" s="10" t="s">
        <v>671</v>
      </c>
      <c r="J66" s="6" t="s">
        <v>682</v>
      </c>
      <c r="K66" s="6" t="s">
        <v>1</v>
      </c>
      <c r="L66" s="3">
        <v>1.6</v>
      </c>
      <c r="M66" s="5">
        <v>15</v>
      </c>
      <c r="N66" s="5">
        <v>24</v>
      </c>
    </row>
    <row r="67" spans="1:14" x14ac:dyDescent="0.25">
      <c r="A67" s="1" t="s">
        <v>29</v>
      </c>
      <c r="B67" s="1" t="s">
        <v>1</v>
      </c>
      <c r="C67" s="3">
        <v>12</v>
      </c>
      <c r="D67" s="2">
        <v>11.799300000000001</v>
      </c>
      <c r="E67" s="2">
        <f>TabelaTianguá[[#This Row],[Qtde]]*TabelaTianguá[[#This Row],[Vl. Unitário]]</f>
        <v>141.5916</v>
      </c>
      <c r="F67" s="40" t="str">
        <f>VLOOKUP(TabelaTianguá[[#This Row],[Código+Produto]],Base!A:C,3,0)</f>
        <v>batata pre frita mp</v>
      </c>
      <c r="G67" s="8" t="str">
        <f>VLOOKUP(A67,Base!A:D,4,0)</f>
        <v>CONGELADOS</v>
      </c>
      <c r="I67" s="10" t="s">
        <v>671</v>
      </c>
      <c r="J67" s="6" t="s">
        <v>693</v>
      </c>
      <c r="K67" s="6" t="s">
        <v>1</v>
      </c>
      <c r="L67" s="3">
        <v>5</v>
      </c>
      <c r="M67" s="5">
        <v>3.6265999999999998</v>
      </c>
      <c r="N67" s="5">
        <v>18.132999999999999</v>
      </c>
    </row>
    <row r="68" spans="1:14" x14ac:dyDescent="0.25">
      <c r="A68" s="1" t="s">
        <v>29</v>
      </c>
      <c r="B68" s="1" t="s">
        <v>1</v>
      </c>
      <c r="C68" s="3">
        <v>12</v>
      </c>
      <c r="D68" s="2">
        <v>11.799300000000001</v>
      </c>
      <c r="E68" s="2">
        <f>TabelaTianguá[[#This Row],[Qtde]]*TabelaTianguá[[#This Row],[Vl. Unitário]]</f>
        <v>141.5916</v>
      </c>
      <c r="F68" s="40" t="str">
        <f>VLOOKUP(TabelaTianguá[[#This Row],[Código+Produto]],Base!A:C,3,0)</f>
        <v>batata pre frita mp</v>
      </c>
      <c r="G68" s="8" t="str">
        <f>VLOOKUP(A68,Base!A:D,4,0)</f>
        <v>CONGELADOS</v>
      </c>
      <c r="I68" s="9"/>
      <c r="J68" s="10"/>
      <c r="K68" s="10"/>
      <c r="L68" s="3"/>
      <c r="M68" s="5"/>
      <c r="N68" s="5"/>
    </row>
    <row r="69" spans="1:14" x14ac:dyDescent="0.25">
      <c r="A69" s="1" t="s">
        <v>1222</v>
      </c>
      <c r="B69" s="1" t="s">
        <v>1</v>
      </c>
      <c r="C69" s="3">
        <v>3</v>
      </c>
      <c r="D69" s="2">
        <v>30.822399999999998</v>
      </c>
      <c r="E69" s="2">
        <f>TabelaTianguá[[#This Row],[Qtde]]*TabelaTianguá[[#This Row],[Vl. Unitário]]</f>
        <v>92.467199999999991</v>
      </c>
      <c r="F69" s="7" t="str">
        <f>VLOOKUP(TabelaTianguá[[#This Row],[Código+Produto]],Base!A:C,3,0)</f>
        <v>cogumelo champignon mp</v>
      </c>
      <c r="G69" s="8" t="str">
        <f>VLOOKUP(A69,Base!A:D,4,0)</f>
        <v>CONSERVAS</v>
      </c>
      <c r="I69" s="6" t="s">
        <v>666</v>
      </c>
      <c r="J69" s="6" t="s">
        <v>668</v>
      </c>
      <c r="K69" s="6" t="s">
        <v>1</v>
      </c>
      <c r="L69" s="3">
        <v>22</v>
      </c>
      <c r="M69" s="5">
        <v>25</v>
      </c>
      <c r="N69" s="5">
        <v>550</v>
      </c>
    </row>
    <row r="70" spans="1:14" x14ac:dyDescent="0.25">
      <c r="A70" s="1" t="s">
        <v>0</v>
      </c>
      <c r="B70" s="1" t="s">
        <v>1</v>
      </c>
      <c r="C70" s="3">
        <v>5</v>
      </c>
      <c r="D70" s="2">
        <v>6.99</v>
      </c>
      <c r="E70" s="2">
        <f>TabelaTianguá[[#This Row],[Qtde]]*TabelaTianguá[[#This Row],[Vl. Unitário]]</f>
        <v>34.950000000000003</v>
      </c>
      <c r="F70" s="7" t="str">
        <f>VLOOKUP(TabelaTianguá[[#This Row],[Código+Produto]],Base!A:C,3,0)</f>
        <v>lanche apresuntado mp</v>
      </c>
      <c r="G70" s="8" t="str">
        <f>VLOOKUP(A70,Base!A:D,4,0)</f>
        <v>EMBUTIDOS</v>
      </c>
      <c r="I70" s="9"/>
      <c r="J70" s="10"/>
      <c r="K70" s="10"/>
      <c r="L70" s="3"/>
      <c r="M70" s="5"/>
      <c r="N70" s="5"/>
    </row>
    <row r="71" spans="1:14" x14ac:dyDescent="0.25">
      <c r="A71" s="1" t="s">
        <v>0</v>
      </c>
      <c r="B71" s="1" t="s">
        <v>1</v>
      </c>
      <c r="C71" s="3">
        <v>5</v>
      </c>
      <c r="D71" s="2">
        <v>7.19</v>
      </c>
      <c r="E71" s="2">
        <f>TabelaTianguá[[#This Row],[Qtde]]*TabelaTianguá[[#This Row],[Vl. Unitário]]</f>
        <v>35.950000000000003</v>
      </c>
      <c r="F71" s="40" t="str">
        <f>VLOOKUP(TabelaTianguá[[#This Row],[Código+Produto]],Base!A:C,3,0)</f>
        <v>lanche apresuntado mp</v>
      </c>
      <c r="G71" s="8" t="str">
        <f>VLOOKUP(A71,Base!A:D,4,0)</f>
        <v>EMBUTIDOS</v>
      </c>
      <c r="I71" s="6" t="s">
        <v>406</v>
      </c>
      <c r="J71" s="6" t="s">
        <v>405</v>
      </c>
      <c r="K71" s="6" t="s">
        <v>14</v>
      </c>
      <c r="L71" s="3">
        <v>37</v>
      </c>
      <c r="M71" s="5">
        <v>8.75</v>
      </c>
      <c r="N71" s="5">
        <v>323</v>
      </c>
    </row>
    <row r="72" spans="1:14" x14ac:dyDescent="0.25">
      <c r="A72" s="1" t="s">
        <v>21</v>
      </c>
      <c r="B72" s="1" t="s">
        <v>1</v>
      </c>
      <c r="C72" s="3">
        <v>1.35</v>
      </c>
      <c r="D72" s="2">
        <v>22.94</v>
      </c>
      <c r="E72" s="2">
        <f>TabelaTianguá[[#This Row],[Qtde]]*TabelaTianguá[[#This Row],[Vl. Unitário]]</f>
        <v>30.969000000000005</v>
      </c>
      <c r="F72" s="7" t="str">
        <f>VLOOKUP(TabelaTianguá[[#This Row],[Código+Produto]],Base!A:C,3,0)</f>
        <v>linguica calabresa mp</v>
      </c>
      <c r="G72" s="8" t="str">
        <f>VLOOKUP(A72,Base!A:D,4,0)</f>
        <v>EMBUTIDOS</v>
      </c>
      <c r="I72" s="9"/>
      <c r="J72" s="10"/>
      <c r="K72" s="10"/>
      <c r="L72" s="3"/>
      <c r="M72" s="5"/>
      <c r="N72" s="5"/>
    </row>
    <row r="73" spans="1:14" x14ac:dyDescent="0.25">
      <c r="A73" s="1" t="s">
        <v>21</v>
      </c>
      <c r="B73" s="1" t="s">
        <v>1</v>
      </c>
      <c r="C73" s="3">
        <v>2.1</v>
      </c>
      <c r="D73" s="2">
        <v>22.94</v>
      </c>
      <c r="E73" s="2">
        <f>TabelaTianguá[[#This Row],[Qtde]]*TabelaTianguá[[#This Row],[Vl. Unitário]]</f>
        <v>48.174000000000007</v>
      </c>
      <c r="F73" s="40" t="str">
        <f>VLOOKUP(TabelaTianguá[[#This Row],[Código+Produto]],Base!A:C,3,0)</f>
        <v>linguica calabresa mp</v>
      </c>
      <c r="G73" s="8" t="str">
        <f>VLOOKUP(A73,Base!A:D,4,0)</f>
        <v>EMBUTIDOS</v>
      </c>
      <c r="I73" s="9" t="s">
        <v>818</v>
      </c>
      <c r="J73" s="6" t="s">
        <v>826</v>
      </c>
      <c r="K73" s="6" t="s">
        <v>6</v>
      </c>
      <c r="L73" s="3">
        <v>1</v>
      </c>
      <c r="M73" s="5">
        <v>87.5</v>
      </c>
      <c r="N73" s="5">
        <v>87.5</v>
      </c>
    </row>
    <row r="74" spans="1:14" x14ac:dyDescent="0.25">
      <c r="A74" s="1" t="s">
        <v>21</v>
      </c>
      <c r="B74" s="1" t="s">
        <v>1</v>
      </c>
      <c r="C74" s="3">
        <v>5</v>
      </c>
      <c r="D74" s="2">
        <v>21.57</v>
      </c>
      <c r="E74" s="2">
        <f>TabelaTianguá[[#This Row],[Qtde]]*TabelaTianguá[[#This Row],[Vl. Unitário]]</f>
        <v>107.85</v>
      </c>
      <c r="F74" s="40" t="str">
        <f>VLOOKUP(TabelaTianguá[[#This Row],[Código+Produto]],Base!A:C,3,0)</f>
        <v>linguica calabresa mp</v>
      </c>
      <c r="G74" s="8" t="str">
        <f>VLOOKUP(A74,Base!A:D,4,0)</f>
        <v>EMBUTIDOS</v>
      </c>
      <c r="I74" s="10" t="s">
        <v>818</v>
      </c>
      <c r="J74" s="6" t="s">
        <v>828</v>
      </c>
      <c r="K74" s="6" t="s">
        <v>6</v>
      </c>
      <c r="L74" s="3">
        <v>1</v>
      </c>
      <c r="M74" s="5">
        <v>73.75</v>
      </c>
      <c r="N74" s="5">
        <v>73.75</v>
      </c>
    </row>
    <row r="75" spans="1:14" x14ac:dyDescent="0.25">
      <c r="A75" s="1" t="s">
        <v>1194</v>
      </c>
      <c r="B75" s="1" t="s">
        <v>1</v>
      </c>
      <c r="C75" s="3">
        <v>10</v>
      </c>
      <c r="D75" s="2">
        <v>18.53</v>
      </c>
      <c r="E75" s="2">
        <f>TabelaTianguá[[#This Row],[Qtde]]*TabelaTianguá[[#This Row],[Vl. Unitário]]</f>
        <v>185.3</v>
      </c>
      <c r="F75" s="7" t="str">
        <f>VLOOKUP(TabelaTianguá[[#This Row],[Código+Produto]],Base!A:C,3,0)</f>
        <v>linguica suina mp</v>
      </c>
      <c r="G75" s="8" t="str">
        <f>VLOOKUP(A75,Base!A:D,4,0)</f>
        <v>EMBUTIDOS</v>
      </c>
      <c r="I75" s="10" t="s">
        <v>818</v>
      </c>
      <c r="J75" s="6" t="s">
        <v>820</v>
      </c>
      <c r="K75" s="6" t="s">
        <v>6</v>
      </c>
      <c r="L75" s="3">
        <v>1</v>
      </c>
      <c r="M75" s="5">
        <v>64.67</v>
      </c>
      <c r="N75" s="5">
        <v>64.67</v>
      </c>
    </row>
    <row r="76" spans="1:14" x14ac:dyDescent="0.25">
      <c r="A76" s="1" t="s">
        <v>1194</v>
      </c>
      <c r="B76" s="1" t="s">
        <v>1</v>
      </c>
      <c r="C76" s="3">
        <v>5</v>
      </c>
      <c r="D76" s="2">
        <v>18.53</v>
      </c>
      <c r="E76" s="2">
        <f>TabelaTianguá[[#This Row],[Qtde]]*TabelaTianguá[[#This Row],[Vl. Unitário]]</f>
        <v>92.65</v>
      </c>
      <c r="F76" s="7" t="str">
        <f>VLOOKUP(TabelaTianguá[[#This Row],[Código+Produto]],Base!A:C,3,0)</f>
        <v>linguica suina mp</v>
      </c>
      <c r="G76" s="8" t="str">
        <f>VLOOKUP(A76,Base!A:D,4,0)</f>
        <v>EMBUTIDOS</v>
      </c>
      <c r="I76" s="9"/>
      <c r="J76" s="10"/>
      <c r="K76" s="10"/>
      <c r="L76" s="3"/>
      <c r="M76" s="5"/>
      <c r="N76" s="5"/>
    </row>
    <row r="77" spans="1:14" x14ac:dyDescent="0.25">
      <c r="A77" s="1" t="s">
        <v>1194</v>
      </c>
      <c r="B77" s="1" t="s">
        <v>1</v>
      </c>
      <c r="C77" s="3">
        <v>5</v>
      </c>
      <c r="D77" s="2">
        <v>18.53</v>
      </c>
      <c r="E77" s="2">
        <f>TabelaTianguá[[#This Row],[Qtde]]*TabelaTianguá[[#This Row],[Vl. Unitário]]</f>
        <v>92.65</v>
      </c>
      <c r="F77" s="7" t="str">
        <f>VLOOKUP(TabelaTianguá[[#This Row],[Código+Produto]],Base!A:C,3,0)</f>
        <v>linguica suina mp</v>
      </c>
      <c r="G77" s="8" t="str">
        <f>VLOOKUP(A77,Base!A:D,4,0)</f>
        <v>EMBUTIDOS</v>
      </c>
      <c r="I77" s="6" t="s">
        <v>1264</v>
      </c>
      <c r="J77" s="6" t="s">
        <v>1264</v>
      </c>
      <c r="K77" s="6" t="s">
        <v>1</v>
      </c>
      <c r="L77" s="3">
        <v>7.4</v>
      </c>
      <c r="M77" s="5">
        <v>17.5</v>
      </c>
      <c r="N77" s="5">
        <v>141</v>
      </c>
    </row>
    <row r="78" spans="1:14" x14ac:dyDescent="0.25">
      <c r="A78" s="1" t="s">
        <v>1194</v>
      </c>
      <c r="B78" s="1" t="s">
        <v>1</v>
      </c>
      <c r="C78" s="3">
        <v>10</v>
      </c>
      <c r="D78" s="2">
        <v>18.53</v>
      </c>
      <c r="E78" s="2">
        <f>TabelaTianguá[[#This Row],[Qtde]]*TabelaTianguá[[#This Row],[Vl. Unitário]]</f>
        <v>185.3</v>
      </c>
      <c r="F78" s="7" t="str">
        <f>VLOOKUP(TabelaTianguá[[#This Row],[Código+Produto]],Base!A:C,3,0)</f>
        <v>linguica suina mp</v>
      </c>
      <c r="G78" s="8" t="str">
        <f>VLOOKUP(A78,Base!A:D,4,0)</f>
        <v>EMBUTIDOS</v>
      </c>
      <c r="I78" s="9"/>
      <c r="J78" s="10"/>
      <c r="K78" s="10"/>
      <c r="L78" s="3"/>
      <c r="M78" s="5"/>
      <c r="N78" s="5"/>
    </row>
    <row r="79" spans="1:14" x14ac:dyDescent="0.25">
      <c r="A79" s="1" t="s">
        <v>1194</v>
      </c>
      <c r="B79" s="1" t="s">
        <v>1</v>
      </c>
      <c r="C79" s="3">
        <v>5</v>
      </c>
      <c r="D79" s="2">
        <v>16.655000000000001</v>
      </c>
      <c r="E79" s="2">
        <f>TabelaTianguá[[#This Row],[Qtde]]*TabelaTianguá[[#This Row],[Vl. Unitário]]</f>
        <v>83.275000000000006</v>
      </c>
      <c r="F79" s="7" t="str">
        <f>VLOOKUP(TabelaTianguá[[#This Row],[Código+Produto]],Base!A:C,3,0)</f>
        <v>linguica suina mp</v>
      </c>
      <c r="G79" s="8" t="str">
        <f>VLOOKUP(A79,Base!A:D,4,0)</f>
        <v>EMBUTIDOS</v>
      </c>
      <c r="I79" s="9" t="s">
        <v>728</v>
      </c>
      <c r="J79" s="6" t="s">
        <v>741</v>
      </c>
      <c r="K79" s="6" t="s">
        <v>6</v>
      </c>
      <c r="L79" s="3">
        <v>24</v>
      </c>
      <c r="M79" s="5">
        <v>4.12</v>
      </c>
      <c r="N79" s="5">
        <v>98.88</v>
      </c>
    </row>
    <row r="80" spans="1:14" x14ac:dyDescent="0.25">
      <c r="A80" s="1" t="s">
        <v>1194</v>
      </c>
      <c r="B80" s="1" t="s">
        <v>1</v>
      </c>
      <c r="C80" s="3">
        <v>5</v>
      </c>
      <c r="D80" s="2">
        <v>17.13</v>
      </c>
      <c r="E80" s="2">
        <f>TabelaTianguá[[#This Row],[Qtde]]*TabelaTianguá[[#This Row],[Vl. Unitário]]</f>
        <v>85.649999999999991</v>
      </c>
      <c r="F80" s="7" t="str">
        <f>VLOOKUP(TabelaTianguá[[#This Row],[Código+Produto]],Base!A:C,3,0)</f>
        <v>linguica suina mp</v>
      </c>
      <c r="G80" s="8" t="str">
        <f>VLOOKUP(A80,Base!A:D,4,0)</f>
        <v>EMBUTIDOS</v>
      </c>
      <c r="I80" s="10" t="s">
        <v>728</v>
      </c>
      <c r="J80" s="6" t="s">
        <v>736</v>
      </c>
      <c r="K80" s="6" t="s">
        <v>6</v>
      </c>
      <c r="L80" s="3">
        <v>12</v>
      </c>
      <c r="M80" s="5">
        <v>1.54</v>
      </c>
      <c r="N80" s="5">
        <v>18.48</v>
      </c>
    </row>
    <row r="81" spans="1:14" x14ac:dyDescent="0.25">
      <c r="A81" s="1" t="s">
        <v>1194</v>
      </c>
      <c r="B81" s="1" t="s">
        <v>1</v>
      </c>
      <c r="C81" s="3">
        <v>10</v>
      </c>
      <c r="D81" s="2">
        <v>17.13</v>
      </c>
      <c r="E81" s="2">
        <f>TabelaTianguá[[#This Row],[Qtde]]*TabelaTianguá[[#This Row],[Vl. Unitário]]</f>
        <v>171.29999999999998</v>
      </c>
      <c r="F81" s="7" t="str">
        <f>VLOOKUP(TabelaTianguá[[#This Row],[Código+Produto]],Base!A:C,3,0)</f>
        <v>linguica suina mp</v>
      </c>
      <c r="G81" s="8" t="str">
        <f>VLOOKUP(A81,Base!A:D,4,0)</f>
        <v>EMBUTIDOS</v>
      </c>
      <c r="I81" s="10" t="s">
        <v>728</v>
      </c>
      <c r="J81" s="6" t="s">
        <v>742</v>
      </c>
      <c r="K81" s="6" t="s">
        <v>14</v>
      </c>
      <c r="L81" s="3">
        <v>10</v>
      </c>
      <c r="M81" s="5">
        <v>0.7</v>
      </c>
      <c r="N81" s="5">
        <v>7</v>
      </c>
    </row>
    <row r="82" spans="1:14" x14ac:dyDescent="0.25">
      <c r="A82" s="1" t="s">
        <v>1194</v>
      </c>
      <c r="B82" s="1" t="s">
        <v>1</v>
      </c>
      <c r="C82" s="3">
        <v>5</v>
      </c>
      <c r="D82" s="2">
        <v>17.13</v>
      </c>
      <c r="E82" s="2">
        <f>TabelaTianguá[[#This Row],[Qtde]]*TabelaTianguá[[#This Row],[Vl. Unitário]]</f>
        <v>85.649999999999991</v>
      </c>
      <c r="F82" s="7" t="str">
        <f>VLOOKUP(TabelaTianguá[[#This Row],[Código+Produto]],Base!A:C,3,0)</f>
        <v>linguica suina mp</v>
      </c>
      <c r="G82" s="8" t="str">
        <f>VLOOKUP(A82,Base!A:D,4,0)</f>
        <v>EMBUTIDOS</v>
      </c>
      <c r="I82" s="9"/>
      <c r="J82" s="10"/>
      <c r="K82" s="10"/>
      <c r="L82" s="3"/>
      <c r="M82" s="5"/>
      <c r="N82" s="5"/>
    </row>
    <row r="83" spans="1:14" x14ac:dyDescent="0.25">
      <c r="A83" s="1" t="s">
        <v>1194</v>
      </c>
      <c r="B83" s="1" t="s">
        <v>1</v>
      </c>
      <c r="C83" s="3">
        <v>5</v>
      </c>
      <c r="D83" s="2">
        <v>16.655000000000001</v>
      </c>
      <c r="E83" s="2">
        <f>TabelaTianguá[[#This Row],[Qtde]]*TabelaTianguá[[#This Row],[Vl. Unitário]]</f>
        <v>83.275000000000006</v>
      </c>
      <c r="F83" s="7" t="str">
        <f>VLOOKUP(TabelaTianguá[[#This Row],[Código+Produto]],Base!A:C,3,0)</f>
        <v>linguica suina mp</v>
      </c>
      <c r="G83" s="8" t="str">
        <f>VLOOKUP(A83,Base!A:D,4,0)</f>
        <v>EMBUTIDOS</v>
      </c>
      <c r="I83" s="9" t="s">
        <v>811</v>
      </c>
      <c r="J83" s="6" t="s">
        <v>816</v>
      </c>
      <c r="K83" s="6" t="s">
        <v>6</v>
      </c>
      <c r="L83" s="3">
        <v>2</v>
      </c>
      <c r="M83" s="5">
        <v>35.5</v>
      </c>
      <c r="N83" s="5">
        <v>71</v>
      </c>
    </row>
    <row r="84" spans="1:14" x14ac:dyDescent="0.25">
      <c r="A84" s="1" t="s">
        <v>1194</v>
      </c>
      <c r="B84" s="1" t="s">
        <v>1</v>
      </c>
      <c r="C84" s="3">
        <v>10</v>
      </c>
      <c r="D84" s="2">
        <v>17.420000000000002</v>
      </c>
      <c r="E84" s="2">
        <f>TabelaTianguá[[#This Row],[Qtde]]*TabelaTianguá[[#This Row],[Vl. Unitário]]</f>
        <v>174.20000000000002</v>
      </c>
      <c r="F84" s="40" t="str">
        <f>VLOOKUP(TabelaTianguá[[#This Row],[Código+Produto]],Base!A:C,3,0)</f>
        <v>linguica suina mp</v>
      </c>
      <c r="G84" s="8" t="str">
        <f>VLOOKUP(A84,Base!A:D,4,0)</f>
        <v>EMBUTIDOS</v>
      </c>
      <c r="I84" s="10" t="s">
        <v>811</v>
      </c>
      <c r="J84" s="6" t="s">
        <v>815</v>
      </c>
      <c r="K84" s="6" t="s">
        <v>1258</v>
      </c>
      <c r="L84" s="3">
        <v>2</v>
      </c>
      <c r="M84" s="5">
        <v>11.3035</v>
      </c>
      <c r="N84" s="5">
        <v>22.606999999999999</v>
      </c>
    </row>
    <row r="85" spans="1:14" x14ac:dyDescent="0.25">
      <c r="A85" s="1" t="s">
        <v>1253</v>
      </c>
      <c r="B85" s="1" t="s">
        <v>1</v>
      </c>
      <c r="C85" s="3">
        <v>5.7</v>
      </c>
      <c r="D85" s="2">
        <v>8.7899999999999991</v>
      </c>
      <c r="E85" s="2">
        <f>TabelaTianguá[[#This Row],[Qtde]]*TabelaTianguá[[#This Row],[Vl. Unitário]]</f>
        <v>50.102999999999994</v>
      </c>
      <c r="F85" s="7" t="str">
        <f>VLOOKUP(TabelaTianguá[[#This Row],[Código+Produto]],Base!A:C,3,0)</f>
        <v>coxa e sobrecoxa mp</v>
      </c>
      <c r="G85" s="8" t="str">
        <f>VLOOKUP(A85,Base!A:D,4,0)</f>
        <v>FRANGOS E DERIVADOS</v>
      </c>
      <c r="I85" s="9"/>
      <c r="J85" s="10"/>
      <c r="K85" s="10"/>
      <c r="L85" s="3"/>
      <c r="M85" s="5"/>
      <c r="N85" s="5"/>
    </row>
    <row r="86" spans="1:14" x14ac:dyDescent="0.25">
      <c r="A86" s="1" t="s">
        <v>1253</v>
      </c>
      <c r="B86" s="1" t="s">
        <v>1</v>
      </c>
      <c r="C86" s="3">
        <v>5.0999999999999996</v>
      </c>
      <c r="D86" s="2">
        <v>9.3896999999999995</v>
      </c>
      <c r="E86" s="2">
        <f>TabelaTianguá[[#This Row],[Qtde]]*TabelaTianguá[[#This Row],[Vl. Unitário]]</f>
        <v>47.887469999999993</v>
      </c>
      <c r="F86" s="40" t="str">
        <f>VLOOKUP(TabelaTianguá[[#This Row],[Código+Produto]],Base!A:C,3,0)</f>
        <v>coxa e sobrecoxa mp</v>
      </c>
      <c r="G86" s="8" t="str">
        <f>VLOOKUP(A86,Base!A:D,4,0)</f>
        <v>FRANGOS E DERIVADOS</v>
      </c>
      <c r="I86" s="6" t="s">
        <v>559</v>
      </c>
      <c r="J86" s="6" t="s">
        <v>560</v>
      </c>
      <c r="K86" s="6" t="s">
        <v>1</v>
      </c>
      <c r="L86" s="3">
        <v>3</v>
      </c>
      <c r="M86" s="5">
        <v>30.822399999999998</v>
      </c>
      <c r="N86" s="5">
        <v>92.467199999999991</v>
      </c>
    </row>
    <row r="87" spans="1:14" x14ac:dyDescent="0.25">
      <c r="A87" s="1" t="s">
        <v>30</v>
      </c>
      <c r="B87" s="1" t="s">
        <v>1</v>
      </c>
      <c r="C87" s="3">
        <v>15</v>
      </c>
      <c r="D87" s="2">
        <v>17.414999999999999</v>
      </c>
      <c r="E87" s="2">
        <f>TabelaTianguá[[#This Row],[Qtde]]*TabelaTianguá[[#This Row],[Vl. Unitário]]</f>
        <v>261.22499999999997</v>
      </c>
      <c r="F87" s="7" t="str">
        <f>VLOOKUP(TabelaTianguá[[#This Row],[Código+Produto]],Base!A:C,3,0)</f>
        <v>file de peito de frango mp</v>
      </c>
      <c r="G87" s="8" t="str">
        <f>VLOOKUP(A87,Base!A:D,4,0)</f>
        <v>FRANGOS E DERIVADOS</v>
      </c>
      <c r="I87" s="9"/>
      <c r="J87" s="10"/>
      <c r="K87" s="10"/>
      <c r="L87" s="3"/>
      <c r="M87" s="5"/>
      <c r="N87" s="5"/>
    </row>
    <row r="88" spans="1:14" x14ac:dyDescent="0.25">
      <c r="A88" s="1" t="s">
        <v>30</v>
      </c>
      <c r="B88" s="1" t="s">
        <v>1</v>
      </c>
      <c r="C88" s="3">
        <v>15</v>
      </c>
      <c r="D88" s="2">
        <v>17.414999999999999</v>
      </c>
      <c r="E88" s="2">
        <f>TabelaTianguá[[#This Row],[Qtde]]*TabelaTianguá[[#This Row],[Vl. Unitário]]</f>
        <v>261.22499999999997</v>
      </c>
      <c r="F88" s="7" t="str">
        <f>VLOOKUP(TabelaTianguá[[#This Row],[Código+Produto]],Base!A:C,3,0)</f>
        <v>file de peito de frango mp</v>
      </c>
      <c r="G88" s="8" t="str">
        <f>VLOOKUP(A88,Base!A:D,4,0)</f>
        <v>FRANGOS E DERIVADOS</v>
      </c>
      <c r="I88" s="6" t="s">
        <v>656</v>
      </c>
      <c r="J88" s="6" t="s">
        <v>655</v>
      </c>
      <c r="K88" s="6" t="s">
        <v>51</v>
      </c>
      <c r="L88" s="3">
        <v>12</v>
      </c>
      <c r="M88" s="5">
        <v>7.49</v>
      </c>
      <c r="N88" s="5">
        <v>89.88</v>
      </c>
    </row>
    <row r="89" spans="1:14" x14ac:dyDescent="0.25">
      <c r="A89" s="1" t="s">
        <v>30</v>
      </c>
      <c r="B89" s="1" t="s">
        <v>1</v>
      </c>
      <c r="C89" s="3">
        <v>15</v>
      </c>
      <c r="D89" s="2">
        <v>17.414999999999999</v>
      </c>
      <c r="E89" s="2">
        <f>TabelaTianguá[[#This Row],[Qtde]]*TabelaTianguá[[#This Row],[Vl. Unitário]]</f>
        <v>261.22499999999997</v>
      </c>
      <c r="F89" s="7" t="str">
        <f>VLOOKUP(TabelaTianguá[[#This Row],[Código+Produto]],Base!A:C,3,0)</f>
        <v>file de peito de frango mp</v>
      </c>
      <c r="G89" s="8" t="str">
        <f>VLOOKUP(A89,Base!A:D,4,0)</f>
        <v>FRANGOS E DERIVADOS</v>
      </c>
      <c r="I89" s="9"/>
      <c r="J89" s="10"/>
      <c r="K89" s="10"/>
      <c r="L89" s="3"/>
      <c r="M89" s="5"/>
      <c r="N89" s="5"/>
    </row>
    <row r="90" spans="1:14" x14ac:dyDescent="0.25">
      <c r="A90" s="1" t="s">
        <v>30</v>
      </c>
      <c r="B90" s="1" t="s">
        <v>1</v>
      </c>
      <c r="C90" s="3">
        <v>15</v>
      </c>
      <c r="D90" s="2">
        <v>17.414999999999999</v>
      </c>
      <c r="E90" s="2">
        <f>TabelaTianguá[[#This Row],[Qtde]]*TabelaTianguá[[#This Row],[Vl. Unitário]]</f>
        <v>261.22499999999997</v>
      </c>
      <c r="F90" s="7" t="str">
        <f>VLOOKUP(TabelaTianguá[[#This Row],[Código+Produto]],Base!A:C,3,0)</f>
        <v>file de peito de frango mp</v>
      </c>
      <c r="G90" s="8" t="str">
        <f>VLOOKUP(A90,Base!A:D,4,0)</f>
        <v>FRANGOS E DERIVADOS</v>
      </c>
      <c r="I90" s="6" t="s">
        <v>890</v>
      </c>
      <c r="J90" s="6" t="s">
        <v>893</v>
      </c>
      <c r="K90" s="6" t="s">
        <v>6</v>
      </c>
      <c r="L90" s="3">
        <v>4</v>
      </c>
      <c r="M90" s="5">
        <v>16</v>
      </c>
      <c r="N90" s="5">
        <v>64</v>
      </c>
    </row>
    <row r="91" spans="1:14" x14ac:dyDescent="0.25">
      <c r="A91" s="1" t="s">
        <v>30</v>
      </c>
      <c r="B91" s="1" t="s">
        <v>1</v>
      </c>
      <c r="C91" s="3">
        <v>15</v>
      </c>
      <c r="D91" s="2">
        <v>17.414999999999999</v>
      </c>
      <c r="E91" s="2">
        <f>TabelaTianguá[[#This Row],[Qtde]]*TabelaTianguá[[#This Row],[Vl. Unitário]]</f>
        <v>261.22499999999997</v>
      </c>
      <c r="F91" s="7" t="str">
        <f>VLOOKUP(TabelaTianguá[[#This Row],[Código+Produto]],Base!A:C,3,0)</f>
        <v>file de peito de frango mp</v>
      </c>
      <c r="G91" s="8" t="str">
        <f>VLOOKUP(A91,Base!A:D,4,0)</f>
        <v>FRANGOS E DERIVADOS</v>
      </c>
      <c r="I91" s="9"/>
      <c r="J91" s="10"/>
      <c r="K91" s="10"/>
      <c r="L91" s="3"/>
      <c r="M91" s="5"/>
      <c r="N91" s="5"/>
    </row>
    <row r="92" spans="1:14" x14ac:dyDescent="0.25">
      <c r="A92" s="1" t="s">
        <v>30</v>
      </c>
      <c r="B92" s="1" t="s">
        <v>1</v>
      </c>
      <c r="C92" s="3">
        <v>20</v>
      </c>
      <c r="D92" s="2">
        <v>16.119</v>
      </c>
      <c r="E92" s="2">
        <f>TabelaTianguá[[#This Row],[Qtde]]*TabelaTianguá[[#This Row],[Vl. Unitário]]</f>
        <v>322.38</v>
      </c>
      <c r="F92" s="7" t="str">
        <f>VLOOKUP(TabelaTianguá[[#This Row],[Código+Produto]],Base!A:C,3,0)</f>
        <v>file de peito de frango mp</v>
      </c>
      <c r="G92" s="8" t="str">
        <f>VLOOKUP(A92,Base!A:D,4,0)</f>
        <v>FRANGOS E DERIVADOS</v>
      </c>
      <c r="I92" s="9" t="s">
        <v>782</v>
      </c>
      <c r="J92" s="6" t="s">
        <v>787</v>
      </c>
      <c r="K92" s="6" t="s">
        <v>6</v>
      </c>
      <c r="L92" s="3">
        <v>2</v>
      </c>
      <c r="M92" s="5">
        <v>17</v>
      </c>
      <c r="N92" s="5">
        <v>34</v>
      </c>
    </row>
    <row r="93" spans="1:14" x14ac:dyDescent="0.25">
      <c r="A93" s="1" t="s">
        <v>30</v>
      </c>
      <c r="B93" s="1" t="s">
        <v>1</v>
      </c>
      <c r="C93" s="3">
        <v>13.5</v>
      </c>
      <c r="D93" s="2">
        <v>25</v>
      </c>
      <c r="E93" s="2">
        <f>TabelaTianguá[[#This Row],[Qtde]]*TabelaTianguá[[#This Row],[Vl. Unitário]]</f>
        <v>337.5</v>
      </c>
      <c r="F93" s="7" t="str">
        <f>VLOOKUP(TabelaTianguá[[#This Row],[Código+Produto]],Base!A:C,3,0)</f>
        <v>file de peito de frango mp</v>
      </c>
      <c r="G93" s="8" t="str">
        <f>VLOOKUP(A93,Base!A:D,4,0)</f>
        <v>FRANGOS E DERIVADOS</v>
      </c>
      <c r="I93" s="10" t="s">
        <v>782</v>
      </c>
      <c r="J93" s="6" t="s">
        <v>783</v>
      </c>
      <c r="K93" s="6" t="s">
        <v>6</v>
      </c>
      <c r="L93" s="3">
        <v>2</v>
      </c>
      <c r="M93" s="5">
        <v>13.0456</v>
      </c>
      <c r="N93" s="5">
        <v>26.091200000000001</v>
      </c>
    </row>
    <row r="94" spans="1:14" x14ac:dyDescent="0.25">
      <c r="A94" s="1" t="s">
        <v>30</v>
      </c>
      <c r="B94" s="1" t="s">
        <v>1</v>
      </c>
      <c r="C94" s="3">
        <v>15</v>
      </c>
      <c r="D94" s="2">
        <v>16.119</v>
      </c>
      <c r="E94" s="2">
        <f>TabelaTianguá[[#This Row],[Qtde]]*TabelaTianguá[[#This Row],[Vl. Unitário]]</f>
        <v>241.785</v>
      </c>
      <c r="F94" s="7" t="str">
        <f>VLOOKUP(TabelaTianguá[[#This Row],[Código+Produto]],Base!A:C,3,0)</f>
        <v>file de peito de frango mp</v>
      </c>
      <c r="G94" s="8" t="str">
        <f>VLOOKUP(A94,Base!A:D,4,0)</f>
        <v>FRANGOS E DERIVADOS</v>
      </c>
      <c r="I94" s="9"/>
      <c r="J94" s="10"/>
      <c r="K94" s="10"/>
      <c r="L94" s="3"/>
      <c r="M94" s="5"/>
      <c r="N94" s="5"/>
    </row>
    <row r="95" spans="1:14" x14ac:dyDescent="0.25">
      <c r="A95" s="1" t="s">
        <v>30</v>
      </c>
      <c r="B95" s="1" t="s">
        <v>1</v>
      </c>
      <c r="C95" s="3">
        <v>15</v>
      </c>
      <c r="D95" s="2">
        <v>16.119</v>
      </c>
      <c r="E95" s="2">
        <f>TabelaTianguá[[#This Row],[Qtde]]*TabelaTianguá[[#This Row],[Vl. Unitário]]</f>
        <v>241.785</v>
      </c>
      <c r="F95" s="40" t="str">
        <f>VLOOKUP(TabelaTianguá[[#This Row],[Código+Produto]],Base!A:C,3,0)</f>
        <v>file de peito de frango mp</v>
      </c>
      <c r="G95" s="8" t="str">
        <f>VLOOKUP(A95,Base!A:D,4,0)</f>
        <v>FRANGOS E DERIVADOS</v>
      </c>
      <c r="I95" s="6" t="s">
        <v>654</v>
      </c>
      <c r="J95" s="6" t="s">
        <v>653</v>
      </c>
      <c r="K95" s="6" t="s">
        <v>1260</v>
      </c>
      <c r="L95" s="3">
        <v>2</v>
      </c>
      <c r="M95" s="5">
        <v>22.656199999999998</v>
      </c>
      <c r="N95" s="5">
        <v>45.312399999999997</v>
      </c>
    </row>
    <row r="96" spans="1:14" x14ac:dyDescent="0.25">
      <c r="A96" s="1" t="s">
        <v>30</v>
      </c>
      <c r="B96" s="1" t="s">
        <v>1</v>
      </c>
      <c r="C96" s="3">
        <v>15</v>
      </c>
      <c r="D96" s="2">
        <v>16.119</v>
      </c>
      <c r="E96" s="2">
        <f>TabelaTianguá[[#This Row],[Qtde]]*TabelaTianguá[[#This Row],[Vl. Unitário]]</f>
        <v>241.785</v>
      </c>
      <c r="F96" s="40" t="str">
        <f>VLOOKUP(TabelaTianguá[[#This Row],[Código+Produto]],Base!A:C,3,0)</f>
        <v>file de peito de frango mp</v>
      </c>
      <c r="G96" s="8" t="str">
        <f>VLOOKUP(A96,Base!A:D,4,0)</f>
        <v>FRANGOS E DERIVADOS</v>
      </c>
      <c r="I96" s="9"/>
      <c r="J96" s="10"/>
      <c r="K96" s="10"/>
      <c r="L96" s="3"/>
      <c r="M96" s="5"/>
      <c r="N96" s="5"/>
    </row>
    <row r="97" spans="1:14" x14ac:dyDescent="0.25">
      <c r="A97" s="1" t="s">
        <v>22</v>
      </c>
      <c r="B97" s="1" t="s">
        <v>1</v>
      </c>
      <c r="C97" s="3">
        <v>6.6</v>
      </c>
      <c r="D97" s="2">
        <v>9.9708000000000006</v>
      </c>
      <c r="E97" s="2">
        <f>TabelaTianguá[[#This Row],[Qtde]]*TabelaTianguá[[#This Row],[Vl. Unitário]]</f>
        <v>65.807280000000006</v>
      </c>
      <c r="F97" s="7" t="str">
        <f>VLOOKUP(TabelaTianguá[[#This Row],[Código+Produto]],Base!A:C,3,0)</f>
        <v>frango inteiro mp</v>
      </c>
      <c r="G97" s="8" t="str">
        <f>VLOOKUP(A97,Base!A:D,4,0)</f>
        <v>FRANGOS E DERIVADOS</v>
      </c>
      <c r="I97" s="6" t="s">
        <v>650</v>
      </c>
      <c r="J97" s="6" t="s">
        <v>649</v>
      </c>
      <c r="K97" s="6" t="s">
        <v>57</v>
      </c>
      <c r="L97" s="3">
        <v>4</v>
      </c>
      <c r="M97" s="5">
        <v>11.163</v>
      </c>
      <c r="N97" s="5">
        <v>44.652000000000001</v>
      </c>
    </row>
    <row r="98" spans="1:14" x14ac:dyDescent="0.25">
      <c r="A98" s="1" t="s">
        <v>22</v>
      </c>
      <c r="B98" s="1" t="s">
        <v>1</v>
      </c>
      <c r="C98" s="3">
        <v>5.2</v>
      </c>
      <c r="D98" s="2">
        <v>9.9708000000000006</v>
      </c>
      <c r="E98" s="2">
        <f>TabelaTianguá[[#This Row],[Qtde]]*TabelaTianguá[[#This Row],[Vl. Unitário]]</f>
        <v>51.848160000000007</v>
      </c>
      <c r="F98" s="7" t="str">
        <f>VLOOKUP(TabelaTianguá[[#This Row],[Código+Produto]],Base!A:C,3,0)</f>
        <v>frango inteiro mp</v>
      </c>
      <c r="G98" s="8" t="str">
        <f>VLOOKUP(A98,Base!A:D,4,0)</f>
        <v>FRANGOS E DERIVADOS</v>
      </c>
      <c r="I98" s="9"/>
      <c r="J98" s="10"/>
      <c r="K98" s="10"/>
      <c r="L98" s="3"/>
      <c r="M98" s="5"/>
      <c r="N98" s="5"/>
    </row>
    <row r="99" spans="1:14" x14ac:dyDescent="0.25">
      <c r="A99" s="1" t="s">
        <v>22</v>
      </c>
      <c r="B99" s="1" t="s">
        <v>1</v>
      </c>
      <c r="C99" s="3">
        <v>4.8</v>
      </c>
      <c r="D99" s="2">
        <v>9.9708000000000006</v>
      </c>
      <c r="E99" s="2">
        <f>TabelaTianguá[[#This Row],[Qtde]]*TabelaTianguá[[#This Row],[Vl. Unitário]]</f>
        <v>47.859839999999998</v>
      </c>
      <c r="F99" s="40" t="str">
        <f>VLOOKUP(TabelaTianguá[[#This Row],[Código+Produto]],Base!A:C,3,0)</f>
        <v>frango inteiro mp</v>
      </c>
      <c r="G99" s="8" t="str">
        <f>VLOOKUP(A99,Base!A:D,4,0)</f>
        <v>FRANGOS E DERIVADOS</v>
      </c>
      <c r="I99" s="6" t="s">
        <v>648</v>
      </c>
      <c r="J99" s="6" t="s">
        <v>647</v>
      </c>
      <c r="K99" s="6" t="s">
        <v>1239</v>
      </c>
      <c r="L99" s="3">
        <v>2</v>
      </c>
      <c r="M99" s="5">
        <v>17.25</v>
      </c>
      <c r="N99" s="5">
        <v>34.5</v>
      </c>
    </row>
    <row r="100" spans="1:14" x14ac:dyDescent="0.25">
      <c r="A100" s="1" t="s">
        <v>2</v>
      </c>
      <c r="B100" s="1" t="s">
        <v>1</v>
      </c>
      <c r="C100" s="3">
        <v>0.9</v>
      </c>
      <c r="D100" s="2">
        <v>1.55</v>
      </c>
      <c r="E100" s="2">
        <f>TabelaTianguá[[#This Row],[Qtde]]*TabelaTianguá[[#This Row],[Vl. Unitário]]</f>
        <v>1.395</v>
      </c>
      <c r="F100" s="7" t="str">
        <f>VLOOKUP(TabelaTianguá[[#This Row],[Código+Produto]],Base!A:C,3,0)</f>
        <v>coentro mp</v>
      </c>
      <c r="G100" s="8" t="str">
        <f>VLOOKUP(A100,Base!A:D,4,0)</f>
        <v>HORTIFRUTI</v>
      </c>
      <c r="I100" s="9"/>
      <c r="J100" s="10"/>
      <c r="K100" s="10"/>
      <c r="L100" s="3"/>
      <c r="M100" s="5"/>
      <c r="N100" s="5"/>
    </row>
    <row r="101" spans="1:14" x14ac:dyDescent="0.25">
      <c r="A101" s="1" t="s">
        <v>2</v>
      </c>
      <c r="B101" s="1" t="s">
        <v>1</v>
      </c>
      <c r="C101" s="3">
        <v>0.75</v>
      </c>
      <c r="D101" s="2">
        <v>1.55</v>
      </c>
      <c r="E101" s="2">
        <f>TabelaTianguá[[#This Row],[Qtde]]*TabelaTianguá[[#This Row],[Vl. Unitário]]</f>
        <v>1.1625000000000001</v>
      </c>
      <c r="F101" s="7" t="str">
        <f>VLOOKUP(TabelaTianguá[[#This Row],[Código+Produto]],Base!A:C,3,0)</f>
        <v>coentro mp</v>
      </c>
      <c r="G101" s="8" t="str">
        <f>VLOOKUP(A101,Base!A:D,4,0)</f>
        <v>HORTIFRUTI</v>
      </c>
    </row>
    <row r="102" spans="1:14" x14ac:dyDescent="0.25">
      <c r="A102" s="1" t="s">
        <v>2</v>
      </c>
      <c r="B102" s="1" t="s">
        <v>1</v>
      </c>
      <c r="C102" s="3">
        <v>2.15</v>
      </c>
      <c r="D102" s="2">
        <v>1.55</v>
      </c>
      <c r="E102" s="2">
        <f>TabelaTianguá[[#This Row],[Qtde]]*TabelaTianguá[[#This Row],[Vl. Unitário]]</f>
        <v>3.3325</v>
      </c>
      <c r="F102" s="7" t="str">
        <f>VLOOKUP(TabelaTianguá[[#This Row],[Código+Produto]],Base!A:C,3,0)</f>
        <v>coentro mp</v>
      </c>
      <c r="G102" s="8" t="str">
        <f>VLOOKUP(A102,Base!A:D,4,0)</f>
        <v>HORTIFRUTI</v>
      </c>
    </row>
    <row r="103" spans="1:14" x14ac:dyDescent="0.25">
      <c r="A103" s="1" t="s">
        <v>2</v>
      </c>
      <c r="B103" s="1" t="s">
        <v>1</v>
      </c>
      <c r="C103" s="3">
        <v>1.5</v>
      </c>
      <c r="D103" s="2">
        <v>1.55</v>
      </c>
      <c r="E103" s="2">
        <f>TabelaTianguá[[#This Row],[Qtde]]*TabelaTianguá[[#This Row],[Vl. Unitário]]</f>
        <v>2.3250000000000002</v>
      </c>
      <c r="F103" s="7" t="str">
        <f>VLOOKUP(TabelaTianguá[[#This Row],[Código+Produto]],Base!A:C,3,0)</f>
        <v>coentro mp</v>
      </c>
      <c r="G103" s="8" t="str">
        <f>VLOOKUP(A103,Base!A:D,4,0)</f>
        <v>HORTIFRUTI</v>
      </c>
    </row>
    <row r="104" spans="1:14" x14ac:dyDescent="0.25">
      <c r="A104" s="1" t="s">
        <v>2</v>
      </c>
      <c r="B104" s="1" t="s">
        <v>1</v>
      </c>
      <c r="C104" s="3">
        <v>0.95</v>
      </c>
      <c r="D104" s="2">
        <v>1.55</v>
      </c>
      <c r="E104" s="2">
        <f>TabelaTianguá[[#This Row],[Qtde]]*TabelaTianguá[[#This Row],[Vl. Unitário]]</f>
        <v>1.4724999999999999</v>
      </c>
      <c r="F104" s="7" t="str">
        <f>VLOOKUP(TabelaTianguá[[#This Row],[Código+Produto]],Base!A:C,3,0)</f>
        <v>coentro mp</v>
      </c>
      <c r="G104" s="8" t="str">
        <f>VLOOKUP(A104,Base!A:D,4,0)</f>
        <v>HORTIFRUTI</v>
      </c>
    </row>
    <row r="105" spans="1:14" x14ac:dyDescent="0.25">
      <c r="A105" s="1" t="s">
        <v>2</v>
      </c>
      <c r="B105" s="1" t="s">
        <v>1</v>
      </c>
      <c r="C105" s="3">
        <v>1.1499999999999999</v>
      </c>
      <c r="D105" s="2">
        <v>1.55</v>
      </c>
      <c r="E105" s="2">
        <f>TabelaTianguá[[#This Row],[Qtde]]*TabelaTianguá[[#This Row],[Vl. Unitário]]</f>
        <v>1.7825</v>
      </c>
      <c r="F105" s="7" t="str">
        <f>VLOOKUP(TabelaTianguá[[#This Row],[Código+Produto]],Base!A:C,3,0)</f>
        <v>coentro mp</v>
      </c>
      <c r="G105" s="8" t="str">
        <f>VLOOKUP(A105,Base!A:D,4,0)</f>
        <v>HORTIFRUTI</v>
      </c>
    </row>
    <row r="106" spans="1:14" x14ac:dyDescent="0.25">
      <c r="A106" s="1" t="s">
        <v>2</v>
      </c>
      <c r="B106" s="1" t="s">
        <v>1</v>
      </c>
      <c r="C106" s="3">
        <v>1.05</v>
      </c>
      <c r="D106" s="2">
        <v>1.55</v>
      </c>
      <c r="E106" s="2">
        <f>TabelaTianguá[[#This Row],[Qtde]]*TabelaTianguá[[#This Row],[Vl. Unitário]]</f>
        <v>1.6275000000000002</v>
      </c>
      <c r="F106" s="7" t="str">
        <f>VLOOKUP(TabelaTianguá[[#This Row],[Código+Produto]],Base!A:C,3,0)</f>
        <v>coentro mp</v>
      </c>
      <c r="G106" s="8" t="str">
        <f>VLOOKUP(A106,Base!A:D,4,0)</f>
        <v>HORTIFRUTI</v>
      </c>
    </row>
    <row r="107" spans="1:14" x14ac:dyDescent="0.25">
      <c r="A107" s="1" t="s">
        <v>2</v>
      </c>
      <c r="B107" s="1" t="s">
        <v>1</v>
      </c>
      <c r="C107" s="3">
        <v>1.35</v>
      </c>
      <c r="D107" s="2">
        <v>1.55</v>
      </c>
      <c r="E107" s="2">
        <f>TabelaTianguá[[#This Row],[Qtde]]*TabelaTianguá[[#This Row],[Vl. Unitário]]</f>
        <v>2.0925000000000002</v>
      </c>
      <c r="F107" s="7" t="str">
        <f>VLOOKUP(TabelaTianguá[[#This Row],[Código+Produto]],Base!A:C,3,0)</f>
        <v>coentro mp</v>
      </c>
      <c r="G107" s="8" t="str">
        <f>VLOOKUP(A107,Base!A:D,4,0)</f>
        <v>HORTIFRUTI</v>
      </c>
    </row>
    <row r="108" spans="1:14" x14ac:dyDescent="0.25">
      <c r="A108" s="1" t="s">
        <v>2</v>
      </c>
      <c r="B108" s="1" t="s">
        <v>1</v>
      </c>
      <c r="C108" s="3">
        <v>0.9</v>
      </c>
      <c r="D108" s="2">
        <v>1.55</v>
      </c>
      <c r="E108" s="2">
        <f>TabelaTianguá[[#This Row],[Qtde]]*TabelaTianguá[[#This Row],[Vl. Unitário]]</f>
        <v>1.395</v>
      </c>
      <c r="F108" s="7" t="str">
        <f>VLOOKUP(TabelaTianguá[[#This Row],[Código+Produto]],Base!A:C,3,0)</f>
        <v>coentro mp</v>
      </c>
      <c r="G108" s="8" t="str">
        <f>VLOOKUP(A108,Base!A:D,4,0)</f>
        <v>HORTIFRUTI</v>
      </c>
    </row>
    <row r="109" spans="1:14" x14ac:dyDescent="0.25">
      <c r="A109" s="1" t="s">
        <v>2</v>
      </c>
      <c r="B109" s="1" t="s">
        <v>1</v>
      </c>
      <c r="C109" s="3">
        <v>1.1000000000000001</v>
      </c>
      <c r="D109" s="2">
        <v>1.55</v>
      </c>
      <c r="E109" s="2">
        <f>TabelaTianguá[[#This Row],[Qtde]]*TabelaTianguá[[#This Row],[Vl. Unitário]]</f>
        <v>1.7050000000000003</v>
      </c>
      <c r="F109" s="7" t="str">
        <f>VLOOKUP(TabelaTianguá[[#This Row],[Código+Produto]],Base!A:C,3,0)</f>
        <v>coentro mp</v>
      </c>
      <c r="G109" s="8" t="str">
        <f>VLOOKUP(A109,Base!A:D,4,0)</f>
        <v>HORTIFRUTI</v>
      </c>
    </row>
    <row r="110" spans="1:14" x14ac:dyDescent="0.25">
      <c r="A110" s="1" t="s">
        <v>2</v>
      </c>
      <c r="B110" s="1" t="s">
        <v>1</v>
      </c>
      <c r="C110" s="3">
        <v>1.3</v>
      </c>
      <c r="D110" s="2">
        <v>1.55</v>
      </c>
      <c r="E110" s="2">
        <f>TabelaTianguá[[#This Row],[Qtde]]*TabelaTianguá[[#This Row],[Vl. Unitário]]</f>
        <v>2.0150000000000001</v>
      </c>
      <c r="F110" s="7" t="str">
        <f>VLOOKUP(TabelaTianguá[[#This Row],[Código+Produto]],Base!A:C,3,0)</f>
        <v>coentro mp</v>
      </c>
      <c r="G110" s="8" t="str">
        <f>VLOOKUP(A110,Base!A:D,4,0)</f>
        <v>HORTIFRUTI</v>
      </c>
    </row>
    <row r="111" spans="1:14" x14ac:dyDescent="0.25">
      <c r="A111" s="1" t="s">
        <v>2</v>
      </c>
      <c r="B111" s="1" t="s">
        <v>1</v>
      </c>
      <c r="C111" s="3">
        <v>0.9</v>
      </c>
      <c r="D111" s="2">
        <v>1.55</v>
      </c>
      <c r="E111" s="2">
        <f>TabelaTianguá[[#This Row],[Qtde]]*TabelaTianguá[[#This Row],[Vl. Unitário]]</f>
        <v>1.395</v>
      </c>
      <c r="F111" s="40" t="str">
        <f>VLOOKUP(TabelaTianguá[[#This Row],[Código+Produto]],Base!A:C,3,0)</f>
        <v>coentro mp</v>
      </c>
      <c r="G111" s="8" t="str">
        <f>VLOOKUP(A111,Base!A:D,4,0)</f>
        <v>HORTIFRUTI</v>
      </c>
    </row>
    <row r="112" spans="1:14" x14ac:dyDescent="0.25">
      <c r="A112" s="1" t="s">
        <v>2</v>
      </c>
      <c r="B112" s="1" t="s">
        <v>1</v>
      </c>
      <c r="C112" s="3">
        <v>1</v>
      </c>
      <c r="D112" s="2">
        <v>1.55</v>
      </c>
      <c r="E112" s="2">
        <f>TabelaTianguá[[#This Row],[Qtde]]*TabelaTianguá[[#This Row],[Vl. Unitário]]</f>
        <v>1.55</v>
      </c>
      <c r="F112" s="40" t="str">
        <f>VLOOKUP(TabelaTianguá[[#This Row],[Código+Produto]],Base!A:C,3,0)</f>
        <v>coentro mp</v>
      </c>
      <c r="G112" s="8" t="str">
        <f>VLOOKUP(A112,Base!A:D,4,0)</f>
        <v>HORTIFRUTI</v>
      </c>
    </row>
    <row r="113" spans="1:7" x14ac:dyDescent="0.25">
      <c r="A113" s="1" t="s">
        <v>2</v>
      </c>
      <c r="B113" s="1" t="s">
        <v>1</v>
      </c>
      <c r="C113" s="3">
        <v>1.1200000000000001</v>
      </c>
      <c r="D113" s="2">
        <v>1.55</v>
      </c>
      <c r="E113" s="2">
        <f>TabelaTianguá[[#This Row],[Qtde]]*TabelaTianguá[[#This Row],[Vl. Unitário]]</f>
        <v>1.7360000000000002</v>
      </c>
      <c r="F113" s="40" t="str">
        <f>VLOOKUP(TabelaTianguá[[#This Row],[Código+Produto]],Base!A:C,3,0)</f>
        <v>coentro mp</v>
      </c>
      <c r="G113" s="8" t="str">
        <f>VLOOKUP(A113,Base!A:D,4,0)</f>
        <v>HORTIFRUTI</v>
      </c>
    </row>
    <row r="114" spans="1:7" x14ac:dyDescent="0.25">
      <c r="A114" s="1" t="s">
        <v>25</v>
      </c>
      <c r="B114" s="1" t="s">
        <v>1</v>
      </c>
      <c r="C114" s="3">
        <v>3.6</v>
      </c>
      <c r="D114" s="2">
        <v>2.5</v>
      </c>
      <c r="E114" s="2">
        <f>TabelaTianguá[[#This Row],[Qtde]]*TabelaTianguá[[#This Row],[Vl. Unitário]]</f>
        <v>9</v>
      </c>
      <c r="F114" s="7" t="str">
        <f>VLOOKUP(TabelaTianguá[[#This Row],[Código+Produto]],Base!A:C,3,0)</f>
        <v>pimentao mp</v>
      </c>
      <c r="G114" s="8" t="str">
        <f>VLOOKUP(A114,Base!A:D,4,0)</f>
        <v>HORTIFRUTI</v>
      </c>
    </row>
    <row r="115" spans="1:7" x14ac:dyDescent="0.25">
      <c r="A115" s="1" t="s">
        <v>25</v>
      </c>
      <c r="B115" s="1" t="s">
        <v>1</v>
      </c>
      <c r="C115" s="3">
        <v>4.4000000000000004</v>
      </c>
      <c r="D115" s="2">
        <v>3.5</v>
      </c>
      <c r="E115" s="2">
        <f>TabelaTianguá[[#This Row],[Qtde]]*TabelaTianguá[[#This Row],[Vl. Unitário]]</f>
        <v>15.400000000000002</v>
      </c>
      <c r="F115" s="7" t="str">
        <f>VLOOKUP(TabelaTianguá[[#This Row],[Código+Produto]],Base!A:C,3,0)</f>
        <v>pimentao mp</v>
      </c>
      <c r="G115" s="8" t="str">
        <f>VLOOKUP(A115,Base!A:D,4,0)</f>
        <v>HORTIFRUTI</v>
      </c>
    </row>
    <row r="116" spans="1:7" x14ac:dyDescent="0.25">
      <c r="A116" s="1" t="s">
        <v>25</v>
      </c>
      <c r="B116" s="1" t="s">
        <v>1</v>
      </c>
      <c r="C116" s="3">
        <v>2.1</v>
      </c>
      <c r="D116" s="2">
        <v>2.5</v>
      </c>
      <c r="E116" s="2">
        <f>TabelaTianguá[[#This Row],[Qtde]]*TabelaTianguá[[#This Row],[Vl. Unitário]]</f>
        <v>5.25</v>
      </c>
      <c r="F116" s="7" t="str">
        <f>VLOOKUP(TabelaTianguá[[#This Row],[Código+Produto]],Base!A:C,3,0)</f>
        <v>pimentao mp</v>
      </c>
      <c r="G116" s="8" t="str">
        <f>VLOOKUP(A116,Base!A:D,4,0)</f>
        <v>HORTIFRUTI</v>
      </c>
    </row>
    <row r="117" spans="1:7" x14ac:dyDescent="0.25">
      <c r="A117" s="1" t="s">
        <v>25</v>
      </c>
      <c r="B117" s="1" t="s">
        <v>1</v>
      </c>
      <c r="C117" s="3">
        <v>4.1500000000000004</v>
      </c>
      <c r="D117" s="2">
        <v>2.5</v>
      </c>
      <c r="E117" s="2">
        <f>TabelaTianguá[[#This Row],[Qtde]]*TabelaTianguá[[#This Row],[Vl. Unitário]]</f>
        <v>10.375</v>
      </c>
      <c r="F117" s="7" t="str">
        <f>VLOOKUP(TabelaTianguá[[#This Row],[Código+Produto]],Base!A:C,3,0)</f>
        <v>pimentao mp</v>
      </c>
      <c r="G117" s="8" t="str">
        <f>VLOOKUP(A117,Base!A:D,4,0)</f>
        <v>HORTIFRUTI</v>
      </c>
    </row>
    <row r="118" spans="1:7" x14ac:dyDescent="0.25">
      <c r="A118" s="1" t="s">
        <v>25</v>
      </c>
      <c r="B118" s="1" t="s">
        <v>1</v>
      </c>
      <c r="C118" s="3">
        <v>3.45</v>
      </c>
      <c r="D118" s="2">
        <v>3</v>
      </c>
      <c r="E118" s="2">
        <f>TabelaTianguá[[#This Row],[Qtde]]*TabelaTianguá[[#This Row],[Vl. Unitário]]</f>
        <v>10.350000000000001</v>
      </c>
      <c r="F118" s="7" t="str">
        <f>VLOOKUP(TabelaTianguá[[#This Row],[Código+Produto]],Base!A:C,3,0)</f>
        <v>pimentao mp</v>
      </c>
      <c r="G118" s="8" t="str">
        <f>VLOOKUP(A118,Base!A:D,4,0)</f>
        <v>HORTIFRUTI</v>
      </c>
    </row>
    <row r="119" spans="1:7" x14ac:dyDescent="0.25">
      <c r="A119" s="1" t="s">
        <v>25</v>
      </c>
      <c r="B119" s="1" t="s">
        <v>1</v>
      </c>
      <c r="C119" s="3">
        <v>1.9</v>
      </c>
      <c r="D119" s="2">
        <v>2.5</v>
      </c>
      <c r="E119" s="2">
        <f>TabelaTianguá[[#This Row],[Qtde]]*TabelaTianguá[[#This Row],[Vl. Unitário]]</f>
        <v>4.75</v>
      </c>
      <c r="F119" s="7" t="str">
        <f>VLOOKUP(TabelaTianguá[[#This Row],[Código+Produto]],Base!A:C,3,0)</f>
        <v>pimentao mp</v>
      </c>
      <c r="G119" s="8" t="str">
        <f>VLOOKUP(A119,Base!A:D,4,0)</f>
        <v>HORTIFRUTI</v>
      </c>
    </row>
    <row r="120" spans="1:7" x14ac:dyDescent="0.25">
      <c r="A120" s="1" t="s">
        <v>25</v>
      </c>
      <c r="B120" s="1" t="s">
        <v>1</v>
      </c>
      <c r="C120" s="3">
        <v>2.4500000000000002</v>
      </c>
      <c r="D120" s="2">
        <v>2.5</v>
      </c>
      <c r="E120" s="2">
        <f>TabelaTianguá[[#This Row],[Qtde]]*TabelaTianguá[[#This Row],[Vl. Unitário]]</f>
        <v>6.125</v>
      </c>
      <c r="F120" s="7" t="str">
        <f>VLOOKUP(TabelaTianguá[[#This Row],[Código+Produto]],Base!A:C,3,0)</f>
        <v>pimentao mp</v>
      </c>
      <c r="G120" s="8" t="str">
        <f>VLOOKUP(A120,Base!A:D,4,0)</f>
        <v>HORTIFRUTI</v>
      </c>
    </row>
    <row r="121" spans="1:7" x14ac:dyDescent="0.25">
      <c r="A121" s="1" t="s">
        <v>25</v>
      </c>
      <c r="B121" s="1" t="s">
        <v>1</v>
      </c>
      <c r="C121" s="3">
        <v>3.3</v>
      </c>
      <c r="D121" s="2">
        <v>4</v>
      </c>
      <c r="E121" s="2">
        <f>TabelaTianguá[[#This Row],[Qtde]]*TabelaTianguá[[#This Row],[Vl. Unitário]]</f>
        <v>13.2</v>
      </c>
      <c r="F121" s="7" t="str">
        <f>VLOOKUP(TabelaTianguá[[#This Row],[Código+Produto]],Base!A:C,3,0)</f>
        <v>pimentao mp</v>
      </c>
      <c r="G121" s="8" t="str">
        <f>VLOOKUP(A121,Base!A:D,4,0)</f>
        <v>HORTIFRUTI</v>
      </c>
    </row>
    <row r="122" spans="1:7" x14ac:dyDescent="0.25">
      <c r="A122" s="1" t="s">
        <v>25</v>
      </c>
      <c r="B122" s="1" t="s">
        <v>1</v>
      </c>
      <c r="C122" s="3">
        <v>5.0999999999999996</v>
      </c>
      <c r="D122" s="2">
        <v>3</v>
      </c>
      <c r="E122" s="2">
        <f>TabelaTianguá[[#This Row],[Qtde]]*TabelaTianguá[[#This Row],[Vl. Unitário]]</f>
        <v>15.299999999999999</v>
      </c>
      <c r="F122" s="7" t="str">
        <f>VLOOKUP(TabelaTianguá[[#This Row],[Código+Produto]],Base!A:C,3,0)</f>
        <v>pimentao mp</v>
      </c>
      <c r="G122" s="8" t="str">
        <f>VLOOKUP(A122,Base!A:D,4,0)</f>
        <v>HORTIFRUTI</v>
      </c>
    </row>
    <row r="123" spans="1:7" x14ac:dyDescent="0.25">
      <c r="A123" s="1" t="s">
        <v>25</v>
      </c>
      <c r="B123" s="1" t="s">
        <v>1</v>
      </c>
      <c r="C123" s="3">
        <v>2.8</v>
      </c>
      <c r="D123" s="2">
        <v>2.5</v>
      </c>
      <c r="E123" s="2">
        <f>TabelaTianguá[[#This Row],[Qtde]]*TabelaTianguá[[#This Row],[Vl. Unitário]]</f>
        <v>7</v>
      </c>
      <c r="F123" s="40" t="str">
        <f>VLOOKUP(TabelaTianguá[[#This Row],[Código+Produto]],Base!A:C,3,0)</f>
        <v>pimentao mp</v>
      </c>
      <c r="G123" s="8" t="str">
        <f>VLOOKUP(A123,Base!A:D,4,0)</f>
        <v>HORTIFRUTI</v>
      </c>
    </row>
    <row r="124" spans="1:7" x14ac:dyDescent="0.25">
      <c r="A124" s="1" t="s">
        <v>25</v>
      </c>
      <c r="B124" s="1" t="s">
        <v>1</v>
      </c>
      <c r="C124" s="3">
        <v>3.5</v>
      </c>
      <c r="D124" s="2">
        <v>4</v>
      </c>
      <c r="E124" s="2">
        <f>TabelaTianguá[[#This Row],[Qtde]]*TabelaTianguá[[#This Row],[Vl. Unitário]]</f>
        <v>14</v>
      </c>
      <c r="F124" s="40" t="str">
        <f>VLOOKUP(TabelaTianguá[[#This Row],[Código+Produto]],Base!A:C,3,0)</f>
        <v>pimentao mp</v>
      </c>
      <c r="G124" s="8" t="str">
        <f>VLOOKUP(A124,Base!A:D,4,0)</f>
        <v>HORTIFRUTI</v>
      </c>
    </row>
    <row r="125" spans="1:7" x14ac:dyDescent="0.25">
      <c r="A125" s="1" t="s">
        <v>25</v>
      </c>
      <c r="B125" s="1" t="s">
        <v>1</v>
      </c>
      <c r="C125" s="3">
        <v>4.3</v>
      </c>
      <c r="D125" s="2">
        <v>2.5</v>
      </c>
      <c r="E125" s="2">
        <f>TabelaTianguá[[#This Row],[Qtde]]*TabelaTianguá[[#This Row],[Vl. Unitário]]</f>
        <v>10.75</v>
      </c>
      <c r="F125" s="40" t="str">
        <f>VLOOKUP(TabelaTianguá[[#This Row],[Código+Produto]],Base!A:C,3,0)</f>
        <v>pimentao mp</v>
      </c>
      <c r="G125" s="8" t="str">
        <f>VLOOKUP(A125,Base!A:D,4,0)</f>
        <v>HORTIFRUTI</v>
      </c>
    </row>
    <row r="126" spans="1:7" x14ac:dyDescent="0.25">
      <c r="A126" s="1" t="s">
        <v>3</v>
      </c>
      <c r="B126" s="1" t="s">
        <v>1</v>
      </c>
      <c r="C126" s="3">
        <v>8.5</v>
      </c>
      <c r="D126" s="2">
        <v>7</v>
      </c>
      <c r="E126" s="2">
        <f>TabelaTianguá[[#This Row],[Qtde]]*TabelaTianguá[[#This Row],[Vl. Unitário]]</f>
        <v>59.5</v>
      </c>
      <c r="F126" s="7" t="str">
        <f>VLOOKUP(TabelaTianguá[[#This Row],[Código+Produto]],Base!A:C,3,0)</f>
        <v>tomate mp</v>
      </c>
      <c r="G126" s="8" t="str">
        <f>VLOOKUP(A126,Base!A:D,4,0)</f>
        <v>HORTIFRUTI</v>
      </c>
    </row>
    <row r="127" spans="1:7" x14ac:dyDescent="0.25">
      <c r="A127" s="1" t="s">
        <v>3</v>
      </c>
      <c r="B127" s="1" t="s">
        <v>1</v>
      </c>
      <c r="C127" s="3">
        <v>5.45</v>
      </c>
      <c r="D127" s="2">
        <v>7</v>
      </c>
      <c r="E127" s="2">
        <f>TabelaTianguá[[#This Row],[Qtde]]*TabelaTianguá[[#This Row],[Vl. Unitário]]</f>
        <v>38.15</v>
      </c>
      <c r="F127" s="7" t="str">
        <f>VLOOKUP(TabelaTianguá[[#This Row],[Código+Produto]],Base!A:C,3,0)</f>
        <v>tomate mp</v>
      </c>
      <c r="G127" s="8" t="str">
        <f>VLOOKUP(A127,Base!A:D,4,0)</f>
        <v>HORTIFRUTI</v>
      </c>
    </row>
    <row r="128" spans="1:7" x14ac:dyDescent="0.25">
      <c r="A128" s="1" t="s">
        <v>3</v>
      </c>
      <c r="B128" s="1" t="s">
        <v>1</v>
      </c>
      <c r="C128" s="3">
        <v>6.4</v>
      </c>
      <c r="D128" s="2">
        <v>7</v>
      </c>
      <c r="E128" s="2">
        <f>TabelaTianguá[[#This Row],[Qtde]]*TabelaTianguá[[#This Row],[Vl. Unitário]]</f>
        <v>44.800000000000004</v>
      </c>
      <c r="F128" s="7" t="str">
        <f>VLOOKUP(TabelaTianguá[[#This Row],[Código+Produto]],Base!A:C,3,0)</f>
        <v>tomate mp</v>
      </c>
      <c r="G128" s="8" t="str">
        <f>VLOOKUP(A128,Base!A:D,4,0)</f>
        <v>HORTIFRUTI</v>
      </c>
    </row>
    <row r="129" spans="1:7" x14ac:dyDescent="0.25">
      <c r="A129" s="1" t="s">
        <v>3</v>
      </c>
      <c r="B129" s="1" t="s">
        <v>1</v>
      </c>
      <c r="C129" s="3">
        <v>8.15</v>
      </c>
      <c r="D129" s="2">
        <v>7</v>
      </c>
      <c r="E129" s="2">
        <f>TabelaTianguá[[#This Row],[Qtde]]*TabelaTianguá[[#This Row],[Vl. Unitário]]</f>
        <v>57.050000000000004</v>
      </c>
      <c r="F129" s="7" t="str">
        <f>VLOOKUP(TabelaTianguá[[#This Row],[Código+Produto]],Base!A:C,3,0)</f>
        <v>tomate mp</v>
      </c>
      <c r="G129" s="8" t="str">
        <f>VLOOKUP(A129,Base!A:D,4,0)</f>
        <v>HORTIFRUTI</v>
      </c>
    </row>
    <row r="130" spans="1:7" x14ac:dyDescent="0.25">
      <c r="A130" s="1" t="s">
        <v>3</v>
      </c>
      <c r="B130" s="1" t="s">
        <v>1</v>
      </c>
      <c r="C130" s="3">
        <v>9.5500000000000007</v>
      </c>
      <c r="D130" s="2">
        <v>7</v>
      </c>
      <c r="E130" s="2">
        <f>TabelaTianguá[[#This Row],[Qtde]]*TabelaTianguá[[#This Row],[Vl. Unitário]]</f>
        <v>66.850000000000009</v>
      </c>
      <c r="F130" s="7" t="str">
        <f>VLOOKUP(TabelaTianguá[[#This Row],[Código+Produto]],Base!A:C,3,0)</f>
        <v>tomate mp</v>
      </c>
      <c r="G130" s="8" t="str">
        <f>VLOOKUP(A130,Base!A:D,4,0)</f>
        <v>HORTIFRUTI</v>
      </c>
    </row>
    <row r="131" spans="1:7" x14ac:dyDescent="0.25">
      <c r="A131" s="1" t="s">
        <v>3</v>
      </c>
      <c r="B131" s="1" t="s">
        <v>1</v>
      </c>
      <c r="C131" s="3">
        <v>5.85</v>
      </c>
      <c r="D131" s="2">
        <v>7</v>
      </c>
      <c r="E131" s="2">
        <f>TabelaTianguá[[#This Row],[Qtde]]*TabelaTianguá[[#This Row],[Vl. Unitário]]</f>
        <v>40.949999999999996</v>
      </c>
      <c r="F131" s="7" t="str">
        <f>VLOOKUP(TabelaTianguá[[#This Row],[Código+Produto]],Base!A:C,3,0)</f>
        <v>tomate mp</v>
      </c>
      <c r="G131" s="8" t="str">
        <f>VLOOKUP(A131,Base!A:D,4,0)</f>
        <v>HORTIFRUTI</v>
      </c>
    </row>
    <row r="132" spans="1:7" x14ac:dyDescent="0.25">
      <c r="A132" s="1" t="s">
        <v>3</v>
      </c>
      <c r="B132" s="1" t="s">
        <v>1</v>
      </c>
      <c r="C132" s="3">
        <v>5.5</v>
      </c>
      <c r="D132" s="2">
        <v>7</v>
      </c>
      <c r="E132" s="2">
        <f>TabelaTianguá[[#This Row],[Qtde]]*TabelaTianguá[[#This Row],[Vl. Unitário]]</f>
        <v>38.5</v>
      </c>
      <c r="F132" s="7" t="str">
        <f>VLOOKUP(TabelaTianguá[[#This Row],[Código+Produto]],Base!A:C,3,0)</f>
        <v>tomate mp</v>
      </c>
      <c r="G132" s="8" t="str">
        <f>VLOOKUP(A132,Base!A:D,4,0)</f>
        <v>HORTIFRUTI</v>
      </c>
    </row>
    <row r="133" spans="1:7" x14ac:dyDescent="0.25">
      <c r="A133" s="1" t="s">
        <v>3</v>
      </c>
      <c r="B133" s="1" t="s">
        <v>1</v>
      </c>
      <c r="C133" s="3">
        <v>23</v>
      </c>
      <c r="D133" s="2">
        <v>7</v>
      </c>
      <c r="E133" s="2">
        <f>TabelaTianguá[[#This Row],[Qtde]]*TabelaTianguá[[#This Row],[Vl. Unitário]]</f>
        <v>161</v>
      </c>
      <c r="F133" s="7" t="str">
        <f>VLOOKUP(TabelaTianguá[[#This Row],[Código+Produto]],Base!A:C,3,0)</f>
        <v>tomate mp</v>
      </c>
      <c r="G133" s="8" t="str">
        <f>VLOOKUP(A133,Base!A:D,4,0)</f>
        <v>HORTIFRUTI</v>
      </c>
    </row>
    <row r="134" spans="1:7" x14ac:dyDescent="0.25">
      <c r="A134" s="1" t="s">
        <v>3</v>
      </c>
      <c r="B134" s="1" t="s">
        <v>1</v>
      </c>
      <c r="C134" s="3">
        <v>6.1</v>
      </c>
      <c r="D134" s="2">
        <v>7</v>
      </c>
      <c r="E134" s="2">
        <f>TabelaTianguá[[#This Row],[Qtde]]*TabelaTianguá[[#This Row],[Vl. Unitário]]</f>
        <v>42.699999999999996</v>
      </c>
      <c r="F134" s="7" t="str">
        <f>VLOOKUP(TabelaTianguá[[#This Row],[Código+Produto]],Base!A:C,3,0)</f>
        <v>tomate mp</v>
      </c>
      <c r="G134" s="8" t="str">
        <f>VLOOKUP(A134,Base!A:D,4,0)</f>
        <v>HORTIFRUTI</v>
      </c>
    </row>
    <row r="135" spans="1:7" x14ac:dyDescent="0.25">
      <c r="A135" s="1" t="s">
        <v>3</v>
      </c>
      <c r="B135" s="1" t="s">
        <v>1</v>
      </c>
      <c r="C135" s="3">
        <v>8.1</v>
      </c>
      <c r="D135" s="2">
        <v>7</v>
      </c>
      <c r="E135" s="2">
        <f>TabelaTianguá[[#This Row],[Qtde]]*TabelaTianguá[[#This Row],[Vl. Unitário]]</f>
        <v>56.699999999999996</v>
      </c>
      <c r="F135" s="7" t="str">
        <f>VLOOKUP(TabelaTianguá[[#This Row],[Código+Produto]],Base!A:C,3,0)</f>
        <v>tomate mp</v>
      </c>
      <c r="G135" s="8" t="str">
        <f>VLOOKUP(A135,Base!A:D,4,0)</f>
        <v>HORTIFRUTI</v>
      </c>
    </row>
    <row r="136" spans="1:7" x14ac:dyDescent="0.25">
      <c r="A136" s="1" t="s">
        <v>3</v>
      </c>
      <c r="B136" s="1" t="s">
        <v>1</v>
      </c>
      <c r="C136" s="3">
        <v>6.6</v>
      </c>
      <c r="D136" s="2">
        <v>7</v>
      </c>
      <c r="E136" s="2">
        <f>TabelaTianguá[[#This Row],[Qtde]]*TabelaTianguá[[#This Row],[Vl. Unitário]]</f>
        <v>46.199999999999996</v>
      </c>
      <c r="F136" s="40" t="str">
        <f>VLOOKUP(TabelaTianguá[[#This Row],[Código+Produto]],Base!A:C,3,0)</f>
        <v>tomate mp</v>
      </c>
      <c r="G136" s="8" t="str">
        <f>VLOOKUP(A136,Base!A:D,4,0)</f>
        <v>HORTIFRUTI</v>
      </c>
    </row>
    <row r="137" spans="1:7" x14ac:dyDescent="0.25">
      <c r="A137" s="1" t="s">
        <v>3</v>
      </c>
      <c r="B137" s="1" t="s">
        <v>1</v>
      </c>
      <c r="C137" s="3">
        <v>10</v>
      </c>
      <c r="D137" s="2">
        <v>7</v>
      </c>
      <c r="E137" s="2">
        <f>TabelaTianguá[[#This Row],[Qtde]]*TabelaTianguá[[#This Row],[Vl. Unitário]]</f>
        <v>70</v>
      </c>
      <c r="F137" s="40" t="str">
        <f>VLOOKUP(TabelaTianguá[[#This Row],[Código+Produto]],Base!A:C,3,0)</f>
        <v>tomate mp</v>
      </c>
      <c r="G137" s="8" t="str">
        <f>VLOOKUP(A137,Base!A:D,4,0)</f>
        <v>HORTIFRUTI</v>
      </c>
    </row>
    <row r="138" spans="1:7" x14ac:dyDescent="0.25">
      <c r="A138" s="1" t="s">
        <v>3</v>
      </c>
      <c r="B138" s="1" t="s">
        <v>1</v>
      </c>
      <c r="C138" s="3">
        <v>6.5</v>
      </c>
      <c r="D138" s="2">
        <v>7</v>
      </c>
      <c r="E138" s="2">
        <f>TabelaTianguá[[#This Row],[Qtde]]*TabelaTianguá[[#This Row],[Vl. Unitário]]</f>
        <v>45.5</v>
      </c>
      <c r="F138" s="40" t="str">
        <f>VLOOKUP(TabelaTianguá[[#This Row],[Código+Produto]],Base!A:C,3,0)</f>
        <v>tomate mp</v>
      </c>
      <c r="G138" s="8" t="str">
        <f>VLOOKUP(A138,Base!A:D,4,0)</f>
        <v>HORTIFRUTI</v>
      </c>
    </row>
    <row r="139" spans="1:7" x14ac:dyDescent="0.25">
      <c r="A139" s="1" t="s">
        <v>34</v>
      </c>
      <c r="B139" s="1" t="s">
        <v>1</v>
      </c>
      <c r="C139" s="3">
        <v>5.8</v>
      </c>
      <c r="D139" s="2">
        <v>4</v>
      </c>
      <c r="E139" s="2">
        <f>TabelaTianguá[[#This Row],[Qtde]]*TabelaTianguá[[#This Row],[Vl. Unitário]]</f>
        <v>23.2</v>
      </c>
      <c r="F139" s="7" t="str">
        <f>VLOOKUP(TabelaTianguá[[#This Row],[Código+Produto]],Base!A:C,3,0)</f>
        <v>limao mp</v>
      </c>
      <c r="G139" s="8" t="str">
        <f>VLOOKUP(A139,Base!A:D,4,0)</f>
        <v>HORTIFRUTI</v>
      </c>
    </row>
    <row r="140" spans="1:7" x14ac:dyDescent="0.25">
      <c r="A140" s="1" t="s">
        <v>34</v>
      </c>
      <c r="B140" s="1" t="s">
        <v>1</v>
      </c>
      <c r="C140" s="3">
        <v>5.15</v>
      </c>
      <c r="D140" s="2">
        <v>4</v>
      </c>
      <c r="E140" s="2">
        <f>TabelaTianguá[[#This Row],[Qtde]]*TabelaTianguá[[#This Row],[Vl. Unitário]]</f>
        <v>20.6</v>
      </c>
      <c r="F140" s="7" t="str">
        <f>VLOOKUP(TabelaTianguá[[#This Row],[Código+Produto]],Base!A:C,3,0)</f>
        <v>limao mp</v>
      </c>
      <c r="G140" s="8" t="str">
        <f>VLOOKUP(A140,Base!A:D,4,0)</f>
        <v>HORTIFRUTI</v>
      </c>
    </row>
    <row r="141" spans="1:7" x14ac:dyDescent="0.25">
      <c r="A141" s="1" t="s">
        <v>34</v>
      </c>
      <c r="B141" s="1" t="s">
        <v>1</v>
      </c>
      <c r="C141" s="3">
        <v>3</v>
      </c>
      <c r="D141" s="2">
        <v>4</v>
      </c>
      <c r="E141" s="2">
        <f>TabelaTianguá[[#This Row],[Qtde]]*TabelaTianguá[[#This Row],[Vl. Unitário]]</f>
        <v>12</v>
      </c>
      <c r="F141" s="7" t="str">
        <f>VLOOKUP(TabelaTianguá[[#This Row],[Código+Produto]],Base!A:C,3,0)</f>
        <v>limao mp</v>
      </c>
      <c r="G141" s="8" t="str">
        <f>VLOOKUP(A141,Base!A:D,4,0)</f>
        <v>HORTIFRUTI</v>
      </c>
    </row>
    <row r="142" spans="1:7" x14ac:dyDescent="0.25">
      <c r="A142" s="1" t="s">
        <v>34</v>
      </c>
      <c r="B142" s="1" t="s">
        <v>1</v>
      </c>
      <c r="C142" s="3">
        <v>5.5</v>
      </c>
      <c r="D142" s="2">
        <v>4</v>
      </c>
      <c r="E142" s="2">
        <f>TabelaTianguá[[#This Row],[Qtde]]*TabelaTianguá[[#This Row],[Vl. Unitário]]</f>
        <v>22</v>
      </c>
      <c r="F142" s="7" t="str">
        <f>VLOOKUP(TabelaTianguá[[#This Row],[Código+Produto]],Base!A:C,3,0)</f>
        <v>limao mp</v>
      </c>
      <c r="G142" s="8" t="str">
        <f>VLOOKUP(A142,Base!A:D,4,0)</f>
        <v>HORTIFRUTI</v>
      </c>
    </row>
    <row r="143" spans="1:7" x14ac:dyDescent="0.25">
      <c r="A143" s="1" t="s">
        <v>34</v>
      </c>
      <c r="B143" s="1" t="s">
        <v>1</v>
      </c>
      <c r="C143" s="3">
        <v>7.8</v>
      </c>
      <c r="D143" s="2">
        <v>4</v>
      </c>
      <c r="E143" s="2">
        <f>TabelaTianguá[[#This Row],[Qtde]]*TabelaTianguá[[#This Row],[Vl. Unitário]]</f>
        <v>31.2</v>
      </c>
      <c r="F143" s="7" t="str">
        <f>VLOOKUP(TabelaTianguá[[#This Row],[Código+Produto]],Base!A:C,3,0)</f>
        <v>limao mp</v>
      </c>
      <c r="G143" s="8" t="str">
        <f>VLOOKUP(A143,Base!A:D,4,0)</f>
        <v>HORTIFRUTI</v>
      </c>
    </row>
    <row r="144" spans="1:7" x14ac:dyDescent="0.25">
      <c r="A144" s="1" t="s">
        <v>34</v>
      </c>
      <c r="B144" s="1" t="s">
        <v>1</v>
      </c>
      <c r="C144" s="3">
        <v>5.7</v>
      </c>
      <c r="D144" s="2">
        <v>4</v>
      </c>
      <c r="E144" s="2">
        <f>TabelaTianguá[[#This Row],[Qtde]]*TabelaTianguá[[#This Row],[Vl. Unitário]]</f>
        <v>22.8</v>
      </c>
      <c r="F144" s="7" t="str">
        <f>VLOOKUP(TabelaTianguá[[#This Row],[Código+Produto]],Base!A:C,3,0)</f>
        <v>limao mp</v>
      </c>
      <c r="G144" s="8" t="str">
        <f>VLOOKUP(A144,Base!A:D,4,0)</f>
        <v>HORTIFRUTI</v>
      </c>
    </row>
    <row r="145" spans="1:7" x14ac:dyDescent="0.25">
      <c r="A145" s="1" t="s">
        <v>34</v>
      </c>
      <c r="B145" s="1" t="s">
        <v>1</v>
      </c>
      <c r="C145" s="3">
        <v>4.4800000000000004</v>
      </c>
      <c r="D145" s="2">
        <v>4</v>
      </c>
      <c r="E145" s="2">
        <f>TabelaTianguá[[#This Row],[Qtde]]*TabelaTianguá[[#This Row],[Vl. Unitário]]</f>
        <v>17.920000000000002</v>
      </c>
      <c r="F145" s="40" t="str">
        <f>VLOOKUP(TabelaTianguá[[#This Row],[Código+Produto]],Base!A:C,3,0)</f>
        <v>limao mp</v>
      </c>
      <c r="G145" s="8" t="str">
        <f>VLOOKUP(A145,Base!A:D,4,0)</f>
        <v>HORTIFRUTI</v>
      </c>
    </row>
    <row r="146" spans="1:7" x14ac:dyDescent="0.25">
      <c r="A146" s="1" t="s">
        <v>13</v>
      </c>
      <c r="B146" s="1" t="s">
        <v>14</v>
      </c>
      <c r="C146" s="3">
        <v>3</v>
      </c>
      <c r="D146" s="2">
        <v>3.6111</v>
      </c>
      <c r="E146" s="2">
        <f>TabelaTianguá[[#This Row],[Qtde]]*TabelaTianguá[[#This Row],[Vl. Unitário]]</f>
        <v>10.833299999999999</v>
      </c>
      <c r="F146" s="7" t="str">
        <f>VLOOKUP(TabelaTianguá[[#This Row],[Código+Produto]],Base!A:C,3,0)</f>
        <v>abacaxi mp</v>
      </c>
      <c r="G146" s="8" t="str">
        <f>VLOOKUP(A146,Base!A:D,4,0)</f>
        <v>HORTIFRUTI</v>
      </c>
    </row>
    <row r="147" spans="1:7" x14ac:dyDescent="0.25">
      <c r="A147" s="1" t="s">
        <v>13</v>
      </c>
      <c r="B147" s="1" t="s">
        <v>14</v>
      </c>
      <c r="C147" s="3">
        <v>4</v>
      </c>
      <c r="D147" s="2">
        <v>3.6111</v>
      </c>
      <c r="E147" s="2">
        <f>TabelaTianguá[[#This Row],[Qtde]]*TabelaTianguá[[#This Row],[Vl. Unitário]]</f>
        <v>14.4444</v>
      </c>
      <c r="F147" s="7" t="str">
        <f>VLOOKUP(TabelaTianguá[[#This Row],[Código+Produto]],Base!A:C,3,0)</f>
        <v>abacaxi mp</v>
      </c>
      <c r="G147" s="8" t="str">
        <f>VLOOKUP(A147,Base!A:D,4,0)</f>
        <v>HORTIFRUTI</v>
      </c>
    </row>
    <row r="148" spans="1:7" x14ac:dyDescent="0.25">
      <c r="A148" s="1" t="s">
        <v>13</v>
      </c>
      <c r="B148" s="1" t="s">
        <v>14</v>
      </c>
      <c r="C148" s="3">
        <v>3</v>
      </c>
      <c r="D148" s="2">
        <v>3.6111</v>
      </c>
      <c r="E148" s="2">
        <f>TabelaTianguá[[#This Row],[Qtde]]*TabelaTianguá[[#This Row],[Vl. Unitário]]</f>
        <v>10.833299999999999</v>
      </c>
      <c r="F148" s="7" t="str">
        <f>VLOOKUP(TabelaTianguá[[#This Row],[Código+Produto]],Base!A:C,3,0)</f>
        <v>abacaxi mp</v>
      </c>
      <c r="G148" s="8" t="str">
        <f>VLOOKUP(A148,Base!A:D,4,0)</f>
        <v>HORTIFRUTI</v>
      </c>
    </row>
    <row r="149" spans="1:7" x14ac:dyDescent="0.25">
      <c r="A149" s="1" t="s">
        <v>13</v>
      </c>
      <c r="B149" s="1" t="s">
        <v>14</v>
      </c>
      <c r="C149" s="3">
        <v>3</v>
      </c>
      <c r="D149" s="2">
        <v>3.6111</v>
      </c>
      <c r="E149" s="2">
        <f>TabelaTianguá[[#This Row],[Qtde]]*TabelaTianguá[[#This Row],[Vl. Unitário]]</f>
        <v>10.833299999999999</v>
      </c>
      <c r="F149" s="7" t="str">
        <f>VLOOKUP(TabelaTianguá[[#This Row],[Código+Produto]],Base!A:C,3,0)</f>
        <v>abacaxi mp</v>
      </c>
      <c r="G149" s="8" t="str">
        <f>VLOOKUP(A149,Base!A:D,4,0)</f>
        <v>HORTIFRUTI</v>
      </c>
    </row>
    <row r="150" spans="1:7" x14ac:dyDescent="0.25">
      <c r="A150" s="1" t="s">
        <v>13</v>
      </c>
      <c r="B150" s="1" t="s">
        <v>14</v>
      </c>
      <c r="C150" s="3">
        <v>3</v>
      </c>
      <c r="D150" s="2">
        <v>3.6111</v>
      </c>
      <c r="E150" s="2">
        <f>TabelaTianguá[[#This Row],[Qtde]]*TabelaTianguá[[#This Row],[Vl. Unitário]]</f>
        <v>10.833299999999999</v>
      </c>
      <c r="F150" s="7" t="str">
        <f>VLOOKUP(TabelaTianguá[[#This Row],[Código+Produto]],Base!A:C,3,0)</f>
        <v>abacaxi mp</v>
      </c>
      <c r="G150" s="8" t="str">
        <f>VLOOKUP(A150,Base!A:D,4,0)</f>
        <v>HORTIFRUTI</v>
      </c>
    </row>
    <row r="151" spans="1:7" x14ac:dyDescent="0.25">
      <c r="A151" s="1" t="s">
        <v>13</v>
      </c>
      <c r="B151" s="1" t="s">
        <v>14</v>
      </c>
      <c r="C151" s="3">
        <v>2.13</v>
      </c>
      <c r="D151" s="2">
        <v>3.6111</v>
      </c>
      <c r="E151" s="2">
        <f>TabelaTianguá[[#This Row],[Qtde]]*TabelaTianguá[[#This Row],[Vl. Unitário]]</f>
        <v>7.691643</v>
      </c>
      <c r="F151" s="40" t="str">
        <f>VLOOKUP(TabelaTianguá[[#This Row],[Código+Produto]],Base!A:C,3,0)</f>
        <v>abacaxi mp</v>
      </c>
      <c r="G151" s="8" t="str">
        <f>VLOOKUP(A151,Base!A:D,4,0)</f>
        <v>HORTIFRUTI</v>
      </c>
    </row>
    <row r="152" spans="1:7" x14ac:dyDescent="0.25">
      <c r="A152" s="1" t="s">
        <v>35</v>
      </c>
      <c r="B152" s="1" t="s">
        <v>1</v>
      </c>
      <c r="C152" s="3">
        <v>2.85</v>
      </c>
      <c r="D152" s="2">
        <v>3.7837999999999998</v>
      </c>
      <c r="E152" s="2">
        <f>TabelaTianguá[[#This Row],[Qtde]]*TabelaTianguá[[#This Row],[Vl. Unitário]]</f>
        <v>10.78383</v>
      </c>
      <c r="F152" s="7" t="str">
        <f>VLOOKUP(TabelaTianguá[[#This Row],[Código+Produto]],Base!A:C,3,0)</f>
        <v>aipim mp</v>
      </c>
      <c r="G152" s="8" t="str">
        <f>VLOOKUP(A152,Base!A:D,4,0)</f>
        <v>HORTIFRUTI</v>
      </c>
    </row>
    <row r="153" spans="1:7" x14ac:dyDescent="0.25">
      <c r="A153" s="1" t="s">
        <v>26</v>
      </c>
      <c r="B153" s="1" t="s">
        <v>1</v>
      </c>
      <c r="C153" s="3">
        <v>0.85</v>
      </c>
      <c r="D153" s="2">
        <v>0.75</v>
      </c>
      <c r="E153" s="2">
        <f>TabelaTianguá[[#This Row],[Qtde]]*TabelaTianguá[[#This Row],[Vl. Unitário]]</f>
        <v>0.63749999999999996</v>
      </c>
      <c r="F153" s="7" t="str">
        <f>VLOOKUP(TabelaTianguá[[#This Row],[Código+Produto]],Base!A:C,3,0)</f>
        <v>alface mp</v>
      </c>
      <c r="G153" s="8" t="str">
        <f>VLOOKUP(A153,Base!A:D,4,0)</f>
        <v>HORTIFRUTI</v>
      </c>
    </row>
    <row r="154" spans="1:7" x14ac:dyDescent="0.25">
      <c r="A154" s="1" t="s">
        <v>26</v>
      </c>
      <c r="B154" s="1" t="s">
        <v>1</v>
      </c>
      <c r="C154" s="3">
        <v>0.85</v>
      </c>
      <c r="D154" s="2">
        <v>0.75</v>
      </c>
      <c r="E154" s="2">
        <f>TabelaTianguá[[#This Row],[Qtde]]*TabelaTianguá[[#This Row],[Vl. Unitário]]</f>
        <v>0.63749999999999996</v>
      </c>
      <c r="F154" s="7" t="str">
        <f>VLOOKUP(TabelaTianguá[[#This Row],[Código+Produto]],Base!A:C,3,0)</f>
        <v>alface mp</v>
      </c>
      <c r="G154" s="8" t="str">
        <f>VLOOKUP(A154,Base!A:D,4,0)</f>
        <v>HORTIFRUTI</v>
      </c>
    </row>
    <row r="155" spans="1:7" x14ac:dyDescent="0.25">
      <c r="A155" s="1" t="s">
        <v>26</v>
      </c>
      <c r="B155" s="1" t="s">
        <v>1</v>
      </c>
      <c r="C155" s="3">
        <v>1.3</v>
      </c>
      <c r="D155" s="2">
        <v>0.75</v>
      </c>
      <c r="E155" s="2">
        <f>TabelaTianguá[[#This Row],[Qtde]]*TabelaTianguá[[#This Row],[Vl. Unitário]]</f>
        <v>0.97500000000000009</v>
      </c>
      <c r="F155" s="7" t="str">
        <f>VLOOKUP(TabelaTianguá[[#This Row],[Código+Produto]],Base!A:C,3,0)</f>
        <v>alface mp</v>
      </c>
      <c r="G155" s="8" t="str">
        <f>VLOOKUP(A155,Base!A:D,4,0)</f>
        <v>HORTIFRUTI</v>
      </c>
    </row>
    <row r="156" spans="1:7" x14ac:dyDescent="0.25">
      <c r="A156" s="1" t="s">
        <v>26</v>
      </c>
      <c r="B156" s="1" t="s">
        <v>1</v>
      </c>
      <c r="C156" s="3">
        <v>1.1499999999999999</v>
      </c>
      <c r="D156" s="2">
        <v>0.75</v>
      </c>
      <c r="E156" s="2">
        <f>TabelaTianguá[[#This Row],[Qtde]]*TabelaTianguá[[#This Row],[Vl. Unitário]]</f>
        <v>0.86249999999999993</v>
      </c>
      <c r="F156" s="7" t="str">
        <f>VLOOKUP(TabelaTianguá[[#This Row],[Código+Produto]],Base!A:C,3,0)</f>
        <v>alface mp</v>
      </c>
      <c r="G156" s="8" t="str">
        <f>VLOOKUP(A156,Base!A:D,4,0)</f>
        <v>HORTIFRUTI</v>
      </c>
    </row>
    <row r="157" spans="1:7" x14ac:dyDescent="0.25">
      <c r="A157" s="1" t="s">
        <v>26</v>
      </c>
      <c r="B157" s="1" t="s">
        <v>1</v>
      </c>
      <c r="C157" s="3">
        <v>0.65</v>
      </c>
      <c r="D157" s="2">
        <v>0.75</v>
      </c>
      <c r="E157" s="2">
        <f>TabelaTianguá[[#This Row],[Qtde]]*TabelaTianguá[[#This Row],[Vl. Unitário]]</f>
        <v>0.48750000000000004</v>
      </c>
      <c r="F157" s="7" t="str">
        <f>VLOOKUP(TabelaTianguá[[#This Row],[Código+Produto]],Base!A:C,3,0)</f>
        <v>alface mp</v>
      </c>
      <c r="G157" s="8" t="str">
        <f>VLOOKUP(A157,Base!A:D,4,0)</f>
        <v>HORTIFRUTI</v>
      </c>
    </row>
    <row r="158" spans="1:7" x14ac:dyDescent="0.25">
      <c r="A158" s="1" t="s">
        <v>26</v>
      </c>
      <c r="B158" s="1" t="s">
        <v>1</v>
      </c>
      <c r="C158" s="3">
        <v>1.1499999999999999</v>
      </c>
      <c r="D158" s="2">
        <v>0.75</v>
      </c>
      <c r="E158" s="2">
        <f>TabelaTianguá[[#This Row],[Qtde]]*TabelaTianguá[[#This Row],[Vl. Unitário]]</f>
        <v>0.86249999999999993</v>
      </c>
      <c r="F158" s="7" t="str">
        <f>VLOOKUP(TabelaTianguá[[#This Row],[Código+Produto]],Base!A:C,3,0)</f>
        <v>alface mp</v>
      </c>
      <c r="G158" s="8" t="str">
        <f>VLOOKUP(A158,Base!A:D,4,0)</f>
        <v>HORTIFRUTI</v>
      </c>
    </row>
    <row r="159" spans="1:7" x14ac:dyDescent="0.25">
      <c r="A159" s="1" t="s">
        <v>26</v>
      </c>
      <c r="B159" s="1" t="s">
        <v>1</v>
      </c>
      <c r="C159" s="3">
        <v>1.25</v>
      </c>
      <c r="D159" s="2">
        <v>0.75</v>
      </c>
      <c r="E159" s="2">
        <f>TabelaTianguá[[#This Row],[Qtde]]*TabelaTianguá[[#This Row],[Vl. Unitário]]</f>
        <v>0.9375</v>
      </c>
      <c r="F159" s="7" t="str">
        <f>VLOOKUP(TabelaTianguá[[#This Row],[Código+Produto]],Base!A:C,3,0)</f>
        <v>alface mp</v>
      </c>
      <c r="G159" s="8" t="str">
        <f>VLOOKUP(A159,Base!A:D,4,0)</f>
        <v>HORTIFRUTI</v>
      </c>
    </row>
    <row r="160" spans="1:7" x14ac:dyDescent="0.25">
      <c r="A160" s="1" t="s">
        <v>26</v>
      </c>
      <c r="B160" s="1" t="s">
        <v>1</v>
      </c>
      <c r="C160" s="3">
        <v>0.9</v>
      </c>
      <c r="D160" s="2">
        <v>0.75</v>
      </c>
      <c r="E160" s="2">
        <f>TabelaTianguá[[#This Row],[Qtde]]*TabelaTianguá[[#This Row],[Vl. Unitário]]</f>
        <v>0.67500000000000004</v>
      </c>
      <c r="F160" s="7" t="str">
        <f>VLOOKUP(TabelaTianguá[[#This Row],[Código+Produto]],Base!A:C,3,0)</f>
        <v>alface mp</v>
      </c>
      <c r="G160" s="8" t="str">
        <f>VLOOKUP(A160,Base!A:D,4,0)</f>
        <v>HORTIFRUTI</v>
      </c>
    </row>
    <row r="161" spans="1:7" x14ac:dyDescent="0.25">
      <c r="A161" s="1" t="s">
        <v>26</v>
      </c>
      <c r="B161" s="1" t="s">
        <v>1</v>
      </c>
      <c r="C161" s="3">
        <v>4.1500000000000004</v>
      </c>
      <c r="D161" s="2">
        <v>0.75</v>
      </c>
      <c r="E161" s="2">
        <f>TabelaTianguá[[#This Row],[Qtde]]*TabelaTianguá[[#This Row],[Vl. Unitário]]</f>
        <v>3.1125000000000003</v>
      </c>
      <c r="F161" s="7" t="str">
        <f>VLOOKUP(TabelaTianguá[[#This Row],[Código+Produto]],Base!A:C,3,0)</f>
        <v>alface mp</v>
      </c>
      <c r="G161" s="8" t="str">
        <f>VLOOKUP(A161,Base!A:D,4,0)</f>
        <v>HORTIFRUTI</v>
      </c>
    </row>
    <row r="162" spans="1:7" x14ac:dyDescent="0.25">
      <c r="A162" s="1" t="s">
        <v>26</v>
      </c>
      <c r="B162" s="1" t="s">
        <v>1</v>
      </c>
      <c r="C162" s="3">
        <v>1.2</v>
      </c>
      <c r="D162" s="2">
        <v>0.75</v>
      </c>
      <c r="E162" s="2">
        <f>TabelaTianguá[[#This Row],[Qtde]]*TabelaTianguá[[#This Row],[Vl. Unitário]]</f>
        <v>0.89999999999999991</v>
      </c>
      <c r="F162" s="7" t="str">
        <f>VLOOKUP(TabelaTianguá[[#This Row],[Código+Produto]],Base!A:C,3,0)</f>
        <v>alface mp</v>
      </c>
      <c r="G162" s="8" t="str">
        <f>VLOOKUP(A162,Base!A:D,4,0)</f>
        <v>HORTIFRUTI</v>
      </c>
    </row>
    <row r="163" spans="1:7" x14ac:dyDescent="0.25">
      <c r="A163" s="1" t="s">
        <v>26</v>
      </c>
      <c r="B163" s="1" t="s">
        <v>1</v>
      </c>
      <c r="C163" s="3">
        <v>0.6</v>
      </c>
      <c r="D163" s="2">
        <v>0.75</v>
      </c>
      <c r="E163" s="2">
        <f>TabelaTianguá[[#This Row],[Qtde]]*TabelaTianguá[[#This Row],[Vl. Unitário]]</f>
        <v>0.44999999999999996</v>
      </c>
      <c r="F163" s="40" t="str">
        <f>VLOOKUP(TabelaTianguá[[#This Row],[Código+Produto]],Base!A:C,3,0)</f>
        <v>alface mp</v>
      </c>
      <c r="G163" s="8" t="str">
        <f>VLOOKUP(A163,Base!A:D,4,0)</f>
        <v>HORTIFRUTI</v>
      </c>
    </row>
    <row r="164" spans="1:7" x14ac:dyDescent="0.25">
      <c r="A164" s="1" t="s">
        <v>26</v>
      </c>
      <c r="B164" s="1" t="s">
        <v>1</v>
      </c>
      <c r="C164" s="3">
        <v>0.7</v>
      </c>
      <c r="D164" s="2">
        <v>0.75</v>
      </c>
      <c r="E164" s="2">
        <f>TabelaTianguá[[#This Row],[Qtde]]*TabelaTianguá[[#This Row],[Vl. Unitário]]</f>
        <v>0.52499999999999991</v>
      </c>
      <c r="F164" s="40" t="str">
        <f>VLOOKUP(TabelaTianguá[[#This Row],[Código+Produto]],Base!A:C,3,0)</f>
        <v>alface mp</v>
      </c>
      <c r="G164" s="8" t="str">
        <f>VLOOKUP(A164,Base!A:D,4,0)</f>
        <v>HORTIFRUTI</v>
      </c>
    </row>
    <row r="165" spans="1:7" x14ac:dyDescent="0.25">
      <c r="A165" s="1" t="s">
        <v>26</v>
      </c>
      <c r="B165" s="1" t="s">
        <v>1</v>
      </c>
      <c r="C165" s="3">
        <v>0.8</v>
      </c>
      <c r="D165" s="2">
        <v>0.75</v>
      </c>
      <c r="E165" s="2">
        <f>TabelaTianguá[[#This Row],[Qtde]]*TabelaTianguá[[#This Row],[Vl. Unitário]]</f>
        <v>0.60000000000000009</v>
      </c>
      <c r="F165" s="40" t="str">
        <f>VLOOKUP(TabelaTianguá[[#This Row],[Código+Produto]],Base!A:C,3,0)</f>
        <v>alface mp</v>
      </c>
      <c r="G165" s="8" t="str">
        <f>VLOOKUP(A165,Base!A:D,4,0)</f>
        <v>HORTIFRUTI</v>
      </c>
    </row>
    <row r="166" spans="1:7" x14ac:dyDescent="0.25">
      <c r="A166" s="1" t="s">
        <v>52</v>
      </c>
      <c r="B166" s="1" t="s">
        <v>1</v>
      </c>
      <c r="C166" s="3">
        <v>3.4</v>
      </c>
      <c r="D166" s="2">
        <v>8</v>
      </c>
      <c r="E166" s="2">
        <f>TabelaTianguá[[#This Row],[Qtde]]*TabelaTianguá[[#This Row],[Vl. Unitário]]</f>
        <v>27.2</v>
      </c>
      <c r="F166" s="7" t="str">
        <f>VLOOKUP(TabelaTianguá[[#This Row],[Código+Produto]],Base!A:C,3,0)</f>
        <v>alho mp</v>
      </c>
      <c r="G166" s="8" t="str">
        <f>VLOOKUP(A166,Base!A:D,4,0)</f>
        <v>HORTIFRUTI</v>
      </c>
    </row>
    <row r="167" spans="1:7" x14ac:dyDescent="0.25">
      <c r="A167" s="1" t="s">
        <v>1195</v>
      </c>
      <c r="B167" s="1" t="s">
        <v>1</v>
      </c>
      <c r="C167" s="3">
        <v>20</v>
      </c>
      <c r="D167" s="2">
        <v>2.7082999999999999</v>
      </c>
      <c r="E167" s="2">
        <f>TabelaTianguá[[#This Row],[Qtde]]*TabelaTianguá[[#This Row],[Vl. Unitário]]</f>
        <v>54.165999999999997</v>
      </c>
      <c r="F167" s="7" t="str">
        <f>VLOOKUP(TabelaTianguá[[#This Row],[Código+Produto]],Base!A:C,3,0)</f>
        <v>batata inglesa mp</v>
      </c>
      <c r="G167" s="8" t="str">
        <f>VLOOKUP(A167,Base!A:D,4,0)</f>
        <v>HORTIFRUTI</v>
      </c>
    </row>
    <row r="168" spans="1:7" x14ac:dyDescent="0.25">
      <c r="A168" s="1" t="s">
        <v>1195</v>
      </c>
      <c r="B168" s="1" t="s">
        <v>1</v>
      </c>
      <c r="C168" s="3">
        <v>3.35</v>
      </c>
      <c r="D168" s="2">
        <v>2.7082999999999999</v>
      </c>
      <c r="E168" s="2">
        <f>TabelaTianguá[[#This Row],[Qtde]]*TabelaTianguá[[#This Row],[Vl. Unitário]]</f>
        <v>9.0728050000000007</v>
      </c>
      <c r="F168" s="7" t="str">
        <f>VLOOKUP(TabelaTianguá[[#This Row],[Código+Produto]],Base!A:C,3,0)</f>
        <v>batata inglesa mp</v>
      </c>
      <c r="G168" s="8" t="str">
        <f>VLOOKUP(A168,Base!A:D,4,0)</f>
        <v>HORTIFRUTI</v>
      </c>
    </row>
    <row r="169" spans="1:7" x14ac:dyDescent="0.25">
      <c r="A169" s="1" t="s">
        <v>48</v>
      </c>
      <c r="B169" s="1" t="s">
        <v>1</v>
      </c>
      <c r="C169" s="3">
        <v>3.3</v>
      </c>
      <c r="D169" s="2">
        <v>6.2868000000000004</v>
      </c>
      <c r="E169" s="2">
        <f>TabelaTianguá[[#This Row],[Qtde]]*TabelaTianguá[[#This Row],[Vl. Unitário]]</f>
        <v>20.74644</v>
      </c>
      <c r="F169" s="7" t="str">
        <f>VLOOKUP(TabelaTianguá[[#This Row],[Código+Produto]],Base!A:C,3,0)</f>
        <v>brocolis mp</v>
      </c>
      <c r="G169" s="8" t="str">
        <f>VLOOKUP(A169,Base!A:D,4,0)</f>
        <v>HORTIFRUTI</v>
      </c>
    </row>
    <row r="170" spans="1:7" x14ac:dyDescent="0.25">
      <c r="A170" s="1" t="s">
        <v>48</v>
      </c>
      <c r="B170" s="1" t="s">
        <v>1</v>
      </c>
      <c r="C170" s="3">
        <v>2.1</v>
      </c>
      <c r="D170" s="2">
        <v>6.2868000000000004</v>
      </c>
      <c r="E170" s="2">
        <f>TabelaTianguá[[#This Row],[Qtde]]*TabelaTianguá[[#This Row],[Vl. Unitário]]</f>
        <v>13.202280000000002</v>
      </c>
      <c r="F170" s="40" t="str">
        <f>VLOOKUP(TabelaTianguá[[#This Row],[Código+Produto]],Base!A:C,3,0)</f>
        <v>brocolis mp</v>
      </c>
      <c r="G170" s="8" t="str">
        <f>VLOOKUP(A170,Base!A:D,4,0)</f>
        <v>HORTIFRUTI</v>
      </c>
    </row>
    <row r="171" spans="1:7" x14ac:dyDescent="0.25">
      <c r="A171" s="1" t="s">
        <v>32</v>
      </c>
      <c r="B171" s="1" t="s">
        <v>1</v>
      </c>
      <c r="C171" s="3">
        <v>18</v>
      </c>
      <c r="D171" s="2">
        <v>1.7</v>
      </c>
      <c r="E171" s="2">
        <f>TabelaTianguá[[#This Row],[Qtde]]*TabelaTianguá[[#This Row],[Vl. Unitário]]</f>
        <v>30.599999999999998</v>
      </c>
      <c r="F171" s="40" t="str">
        <f>VLOOKUP(TabelaTianguá[[#This Row],[Código+Produto]],Base!A:C,3,0)</f>
        <v>cebola branca mp</v>
      </c>
      <c r="G171" s="8" t="str">
        <f>VLOOKUP(A171,Base!A:D,4,0)</f>
        <v>HORTIFRUTI</v>
      </c>
    </row>
    <row r="172" spans="1:7" x14ac:dyDescent="0.25">
      <c r="A172" s="1" t="s">
        <v>4</v>
      </c>
      <c r="B172" s="1" t="s">
        <v>1</v>
      </c>
      <c r="C172" s="3">
        <v>6.9</v>
      </c>
      <c r="D172" s="2">
        <v>2.5</v>
      </c>
      <c r="E172" s="2">
        <f>TabelaTianguá[[#This Row],[Qtde]]*TabelaTianguá[[#This Row],[Vl. Unitário]]</f>
        <v>17.25</v>
      </c>
      <c r="F172" s="7" t="str">
        <f>VLOOKUP(TabelaTianguá[[#This Row],[Código+Produto]],Base!A:C,3,0)</f>
        <v>cenoura mp</v>
      </c>
      <c r="G172" s="8" t="str">
        <f>VLOOKUP(A172,Base!A:D,4,0)</f>
        <v>HORTIFRUTI</v>
      </c>
    </row>
    <row r="173" spans="1:7" x14ac:dyDescent="0.25">
      <c r="A173" s="1" t="s">
        <v>4</v>
      </c>
      <c r="B173" s="1" t="s">
        <v>1</v>
      </c>
      <c r="C173" s="3">
        <v>3</v>
      </c>
      <c r="D173" s="2">
        <v>2.5</v>
      </c>
      <c r="E173" s="2">
        <f>TabelaTianguá[[#This Row],[Qtde]]*TabelaTianguá[[#This Row],[Vl. Unitário]]</f>
        <v>7.5</v>
      </c>
      <c r="F173" s="7" t="str">
        <f>VLOOKUP(TabelaTianguá[[#This Row],[Código+Produto]],Base!A:C,3,0)</f>
        <v>cenoura mp</v>
      </c>
      <c r="G173" s="8" t="str">
        <f>VLOOKUP(A173,Base!A:D,4,0)</f>
        <v>HORTIFRUTI</v>
      </c>
    </row>
    <row r="174" spans="1:7" x14ac:dyDescent="0.25">
      <c r="A174" s="1" t="s">
        <v>4</v>
      </c>
      <c r="B174" s="1" t="s">
        <v>1</v>
      </c>
      <c r="C174" s="3">
        <v>4.5999999999999996</v>
      </c>
      <c r="D174" s="2">
        <v>2.5</v>
      </c>
      <c r="E174" s="2">
        <f>TabelaTianguá[[#This Row],[Qtde]]*TabelaTianguá[[#This Row],[Vl. Unitário]]</f>
        <v>11.5</v>
      </c>
      <c r="F174" s="7" t="str">
        <f>VLOOKUP(TabelaTianguá[[#This Row],[Código+Produto]],Base!A:C,3,0)</f>
        <v>cenoura mp</v>
      </c>
      <c r="G174" s="8" t="str">
        <f>VLOOKUP(A174,Base!A:D,4,0)</f>
        <v>HORTIFRUTI</v>
      </c>
    </row>
    <row r="175" spans="1:7" x14ac:dyDescent="0.25">
      <c r="A175" s="1" t="s">
        <v>4</v>
      </c>
      <c r="B175" s="1" t="s">
        <v>1</v>
      </c>
      <c r="C175" s="3">
        <v>4.25</v>
      </c>
      <c r="D175" s="2">
        <v>2.5</v>
      </c>
      <c r="E175" s="2">
        <f>TabelaTianguá[[#This Row],[Qtde]]*TabelaTianguá[[#This Row],[Vl. Unitário]]</f>
        <v>10.625</v>
      </c>
      <c r="F175" s="7" t="str">
        <f>VLOOKUP(TabelaTianguá[[#This Row],[Código+Produto]],Base!A:C,3,0)</f>
        <v>cenoura mp</v>
      </c>
      <c r="G175" s="8" t="str">
        <f>VLOOKUP(A175,Base!A:D,4,0)</f>
        <v>HORTIFRUTI</v>
      </c>
    </row>
    <row r="176" spans="1:7" x14ac:dyDescent="0.25">
      <c r="A176" s="1" t="s">
        <v>4</v>
      </c>
      <c r="B176" s="1" t="s">
        <v>1</v>
      </c>
      <c r="C176" s="3">
        <v>6.75</v>
      </c>
      <c r="D176" s="2">
        <v>2.5</v>
      </c>
      <c r="E176" s="2">
        <f>TabelaTianguá[[#This Row],[Qtde]]*TabelaTianguá[[#This Row],[Vl. Unitário]]</f>
        <v>16.875</v>
      </c>
      <c r="F176" s="7" t="str">
        <f>VLOOKUP(TabelaTianguá[[#This Row],[Código+Produto]],Base!A:C,3,0)</f>
        <v>cenoura mp</v>
      </c>
      <c r="G176" s="8" t="str">
        <f>VLOOKUP(A176,Base!A:D,4,0)</f>
        <v>HORTIFRUTI</v>
      </c>
    </row>
    <row r="177" spans="1:7" x14ac:dyDescent="0.25">
      <c r="A177" s="1" t="s">
        <v>4</v>
      </c>
      <c r="B177" s="1" t="s">
        <v>1</v>
      </c>
      <c r="C177" s="3">
        <v>3.9</v>
      </c>
      <c r="D177" s="2">
        <v>2.5</v>
      </c>
      <c r="E177" s="2">
        <f>TabelaTianguá[[#This Row],[Qtde]]*TabelaTianguá[[#This Row],[Vl. Unitário]]</f>
        <v>9.75</v>
      </c>
      <c r="F177" s="40" t="str">
        <f>VLOOKUP(TabelaTianguá[[#This Row],[Código+Produto]],Base!A:C,3,0)</f>
        <v>cenoura mp</v>
      </c>
      <c r="G177" s="8" t="str">
        <f>VLOOKUP(A177,Base!A:D,4,0)</f>
        <v>HORTIFRUTI</v>
      </c>
    </row>
    <row r="178" spans="1:7" x14ac:dyDescent="0.25">
      <c r="A178" s="1" t="s">
        <v>5</v>
      </c>
      <c r="B178" s="1" t="s">
        <v>6</v>
      </c>
      <c r="C178" s="3">
        <v>6.5</v>
      </c>
      <c r="D178" s="2">
        <v>3.5</v>
      </c>
      <c r="E178" s="2">
        <f>TabelaTianguá[[#This Row],[Qtde]]*TabelaTianguá[[#This Row],[Vl. Unitário]]</f>
        <v>22.75</v>
      </c>
      <c r="F178" s="7" t="str">
        <f>VLOOKUP(TabelaTianguá[[#This Row],[Código+Produto]],Base!A:C,3,0)</f>
        <v>leite mp</v>
      </c>
      <c r="G178" s="8" t="str">
        <f>VLOOKUP(A178,Base!A:D,4,0)</f>
        <v>LATICINIOS</v>
      </c>
    </row>
    <row r="179" spans="1:7" x14ac:dyDescent="0.25">
      <c r="A179" s="1" t="s">
        <v>5</v>
      </c>
      <c r="B179" s="1" t="s">
        <v>6</v>
      </c>
      <c r="C179" s="3">
        <v>6</v>
      </c>
      <c r="D179" s="2">
        <v>3.5</v>
      </c>
      <c r="E179" s="2">
        <f>TabelaTianguá[[#This Row],[Qtde]]*TabelaTianguá[[#This Row],[Vl. Unitário]]</f>
        <v>21</v>
      </c>
      <c r="F179" s="7" t="str">
        <f>VLOOKUP(TabelaTianguá[[#This Row],[Código+Produto]],Base!A:C,3,0)</f>
        <v>leite mp</v>
      </c>
      <c r="G179" s="8" t="str">
        <f>VLOOKUP(A179,Base!A:D,4,0)</f>
        <v>LATICINIOS</v>
      </c>
    </row>
    <row r="180" spans="1:7" x14ac:dyDescent="0.25">
      <c r="A180" s="1" t="s">
        <v>5</v>
      </c>
      <c r="B180" s="1" t="s">
        <v>6</v>
      </c>
      <c r="C180" s="3">
        <v>12</v>
      </c>
      <c r="D180" s="2">
        <v>3.5</v>
      </c>
      <c r="E180" s="2">
        <f>TabelaTianguá[[#This Row],[Qtde]]*TabelaTianguá[[#This Row],[Vl. Unitário]]</f>
        <v>42</v>
      </c>
      <c r="F180" s="7" t="str">
        <f>VLOOKUP(TabelaTianguá[[#This Row],[Código+Produto]],Base!A:C,3,0)</f>
        <v>leite mp</v>
      </c>
      <c r="G180" s="8" t="str">
        <f>VLOOKUP(A180,Base!A:D,4,0)</f>
        <v>LATICINIOS</v>
      </c>
    </row>
    <row r="181" spans="1:7" x14ac:dyDescent="0.25">
      <c r="A181" s="1" t="s">
        <v>5</v>
      </c>
      <c r="B181" s="1" t="s">
        <v>6</v>
      </c>
      <c r="C181" s="3">
        <v>9</v>
      </c>
      <c r="D181" s="2">
        <v>3.5</v>
      </c>
      <c r="E181" s="2">
        <f>TabelaTianguá[[#This Row],[Qtde]]*TabelaTianguá[[#This Row],[Vl. Unitário]]</f>
        <v>31.5</v>
      </c>
      <c r="F181" s="7" t="str">
        <f>VLOOKUP(TabelaTianguá[[#This Row],[Código+Produto]],Base!A:C,3,0)</f>
        <v>leite mp</v>
      </c>
      <c r="G181" s="8" t="str">
        <f>VLOOKUP(A181,Base!A:D,4,0)</f>
        <v>LATICINIOS</v>
      </c>
    </row>
    <row r="182" spans="1:7" x14ac:dyDescent="0.25">
      <c r="A182" s="1" t="s">
        <v>5</v>
      </c>
      <c r="B182" s="1" t="s">
        <v>6</v>
      </c>
      <c r="C182" s="3">
        <v>6</v>
      </c>
      <c r="D182" s="2">
        <v>3.5</v>
      </c>
      <c r="E182" s="2">
        <f>TabelaTianguá[[#This Row],[Qtde]]*TabelaTianguá[[#This Row],[Vl. Unitário]]</f>
        <v>21</v>
      </c>
      <c r="F182" s="7" t="str">
        <f>VLOOKUP(TabelaTianguá[[#This Row],[Código+Produto]],Base!A:C,3,0)</f>
        <v>leite mp</v>
      </c>
      <c r="G182" s="8" t="str">
        <f>VLOOKUP(A182,Base!A:D,4,0)</f>
        <v>LATICINIOS</v>
      </c>
    </row>
    <row r="183" spans="1:7" x14ac:dyDescent="0.25">
      <c r="A183" s="1" t="s">
        <v>5</v>
      </c>
      <c r="B183" s="1" t="s">
        <v>6</v>
      </c>
      <c r="C183" s="3">
        <v>6</v>
      </c>
      <c r="D183" s="2">
        <v>3.5</v>
      </c>
      <c r="E183" s="2">
        <f>TabelaTianguá[[#This Row],[Qtde]]*TabelaTianguá[[#This Row],[Vl. Unitário]]</f>
        <v>21</v>
      </c>
      <c r="F183" s="7" t="str">
        <f>VLOOKUP(TabelaTianguá[[#This Row],[Código+Produto]],Base!A:C,3,0)</f>
        <v>leite mp</v>
      </c>
      <c r="G183" s="8" t="str">
        <f>VLOOKUP(A183,Base!A:D,4,0)</f>
        <v>LATICINIOS</v>
      </c>
    </row>
    <row r="184" spans="1:7" x14ac:dyDescent="0.25">
      <c r="A184" s="1" t="s">
        <v>5</v>
      </c>
      <c r="B184" s="1" t="s">
        <v>6</v>
      </c>
      <c r="C184" s="3">
        <v>10</v>
      </c>
      <c r="D184" s="2">
        <v>3.5</v>
      </c>
      <c r="E184" s="2">
        <f>TabelaTianguá[[#This Row],[Qtde]]*TabelaTianguá[[#This Row],[Vl. Unitário]]</f>
        <v>35</v>
      </c>
      <c r="F184" s="7" t="str">
        <f>VLOOKUP(TabelaTianguá[[#This Row],[Código+Produto]],Base!A:C,3,0)</f>
        <v>leite mp</v>
      </c>
      <c r="G184" s="8" t="str">
        <f>VLOOKUP(A184,Base!A:D,4,0)</f>
        <v>LATICINIOS</v>
      </c>
    </row>
    <row r="185" spans="1:7" x14ac:dyDescent="0.25">
      <c r="A185" s="1" t="s">
        <v>5</v>
      </c>
      <c r="B185" s="1" t="s">
        <v>6</v>
      </c>
      <c r="C185" s="3">
        <v>12</v>
      </c>
      <c r="D185" s="2">
        <v>3.5</v>
      </c>
      <c r="E185" s="2">
        <f>TabelaTianguá[[#This Row],[Qtde]]*TabelaTianguá[[#This Row],[Vl. Unitário]]</f>
        <v>42</v>
      </c>
      <c r="F185" s="7" t="str">
        <f>VLOOKUP(TabelaTianguá[[#This Row],[Código+Produto]],Base!A:C,3,0)</f>
        <v>leite mp</v>
      </c>
      <c r="G185" s="8" t="str">
        <f>VLOOKUP(A185,Base!A:D,4,0)</f>
        <v>LATICINIOS</v>
      </c>
    </row>
    <row r="186" spans="1:7" x14ac:dyDescent="0.25">
      <c r="A186" s="1" t="s">
        <v>5</v>
      </c>
      <c r="B186" s="1" t="s">
        <v>6</v>
      </c>
      <c r="C186" s="3">
        <v>12</v>
      </c>
      <c r="D186" s="2">
        <v>3.5</v>
      </c>
      <c r="E186" s="2">
        <f>TabelaTianguá[[#This Row],[Qtde]]*TabelaTianguá[[#This Row],[Vl. Unitário]]</f>
        <v>42</v>
      </c>
      <c r="F186" s="7" t="str">
        <f>VLOOKUP(TabelaTianguá[[#This Row],[Código+Produto]],Base!A:C,3,0)</f>
        <v>leite mp</v>
      </c>
      <c r="G186" s="8" t="str">
        <f>VLOOKUP(A186,Base!A:D,4,0)</f>
        <v>LATICINIOS</v>
      </c>
    </row>
    <row r="187" spans="1:7" x14ac:dyDescent="0.25">
      <c r="A187" s="1" t="s">
        <v>5</v>
      </c>
      <c r="B187" s="1" t="s">
        <v>6</v>
      </c>
      <c r="C187" s="3">
        <v>6</v>
      </c>
      <c r="D187" s="2">
        <v>3.5</v>
      </c>
      <c r="E187" s="2">
        <f>TabelaTianguá[[#This Row],[Qtde]]*TabelaTianguá[[#This Row],[Vl. Unitário]]</f>
        <v>21</v>
      </c>
      <c r="F187" s="7" t="str">
        <f>VLOOKUP(TabelaTianguá[[#This Row],[Código+Produto]],Base!A:C,3,0)</f>
        <v>leite mp</v>
      </c>
      <c r="G187" s="8" t="str">
        <f>VLOOKUP(A187,Base!A:D,4,0)</f>
        <v>LATICINIOS</v>
      </c>
    </row>
    <row r="188" spans="1:7" x14ac:dyDescent="0.25">
      <c r="A188" s="1" t="s">
        <v>5</v>
      </c>
      <c r="B188" s="1" t="s">
        <v>6</v>
      </c>
      <c r="C188" s="3">
        <v>6</v>
      </c>
      <c r="D188" s="2">
        <v>3.5</v>
      </c>
      <c r="E188" s="2">
        <f>TabelaTianguá[[#This Row],[Qtde]]*TabelaTianguá[[#This Row],[Vl. Unitário]]</f>
        <v>21</v>
      </c>
      <c r="F188" s="7" t="str">
        <f>VLOOKUP(TabelaTianguá[[#This Row],[Código+Produto]],Base!A:C,3,0)</f>
        <v>leite mp</v>
      </c>
      <c r="G188" s="8" t="str">
        <f>VLOOKUP(A188,Base!A:D,4,0)</f>
        <v>LATICINIOS</v>
      </c>
    </row>
    <row r="189" spans="1:7" x14ac:dyDescent="0.25">
      <c r="A189" s="1" t="s">
        <v>5</v>
      </c>
      <c r="B189" s="1" t="s">
        <v>6</v>
      </c>
      <c r="C189" s="3">
        <v>6</v>
      </c>
      <c r="D189" s="2">
        <v>3.5</v>
      </c>
      <c r="E189" s="2">
        <f>TabelaTianguá[[#This Row],[Qtde]]*TabelaTianguá[[#This Row],[Vl. Unitário]]</f>
        <v>21</v>
      </c>
      <c r="F189" s="7" t="str">
        <f>VLOOKUP(TabelaTianguá[[#This Row],[Código+Produto]],Base!A:C,3,0)</f>
        <v>leite mp</v>
      </c>
      <c r="G189" s="8" t="str">
        <f>VLOOKUP(A189,Base!A:D,4,0)</f>
        <v>LATICINIOS</v>
      </c>
    </row>
    <row r="190" spans="1:7" x14ac:dyDescent="0.25">
      <c r="A190" s="1" t="s">
        <v>5</v>
      </c>
      <c r="B190" s="1" t="s">
        <v>6</v>
      </c>
      <c r="C190" s="3">
        <v>10.5</v>
      </c>
      <c r="D190" s="2">
        <v>3.5</v>
      </c>
      <c r="E190" s="2">
        <f>TabelaTianguá[[#This Row],[Qtde]]*TabelaTianguá[[#This Row],[Vl. Unitário]]</f>
        <v>36.75</v>
      </c>
      <c r="F190" s="7" t="str">
        <f>VLOOKUP(TabelaTianguá[[#This Row],[Código+Produto]],Base!A:C,3,0)</f>
        <v>leite mp</v>
      </c>
      <c r="G190" s="8" t="str">
        <f>VLOOKUP(A190,Base!A:D,4,0)</f>
        <v>LATICINIOS</v>
      </c>
    </row>
    <row r="191" spans="1:7" x14ac:dyDescent="0.25">
      <c r="A191" s="1" t="s">
        <v>5</v>
      </c>
      <c r="B191" s="1" t="s">
        <v>6</v>
      </c>
      <c r="C191" s="3">
        <v>12</v>
      </c>
      <c r="D191" s="2">
        <v>3.5</v>
      </c>
      <c r="E191" s="2">
        <f>TabelaTianguá[[#This Row],[Qtde]]*TabelaTianguá[[#This Row],[Vl. Unitário]]</f>
        <v>42</v>
      </c>
      <c r="F191" s="7" t="str">
        <f>VLOOKUP(TabelaTianguá[[#This Row],[Código+Produto]],Base!A:C,3,0)</f>
        <v>leite mp</v>
      </c>
      <c r="G191" s="8" t="str">
        <f>VLOOKUP(A191,Base!A:D,4,0)</f>
        <v>LATICINIOS</v>
      </c>
    </row>
    <row r="192" spans="1:7" x14ac:dyDescent="0.25">
      <c r="A192" s="1" t="s">
        <v>5</v>
      </c>
      <c r="B192" s="1" t="s">
        <v>6</v>
      </c>
      <c r="C192" s="3">
        <v>9.5</v>
      </c>
      <c r="D192" s="2">
        <v>3.5</v>
      </c>
      <c r="E192" s="2">
        <f>TabelaTianguá[[#This Row],[Qtde]]*TabelaTianguá[[#This Row],[Vl. Unitário]]</f>
        <v>33.25</v>
      </c>
      <c r="F192" s="7" t="str">
        <f>VLOOKUP(TabelaTianguá[[#This Row],[Código+Produto]],Base!A:C,3,0)</f>
        <v>leite mp</v>
      </c>
      <c r="G192" s="8" t="str">
        <f>VLOOKUP(A192,Base!A:D,4,0)</f>
        <v>LATICINIOS</v>
      </c>
    </row>
    <row r="193" spans="1:7" x14ac:dyDescent="0.25">
      <c r="A193" s="1" t="s">
        <v>5</v>
      </c>
      <c r="B193" s="1" t="s">
        <v>6</v>
      </c>
      <c r="C193" s="3">
        <v>9</v>
      </c>
      <c r="D193" s="2">
        <v>3.5</v>
      </c>
      <c r="E193" s="2">
        <f>TabelaTianguá[[#This Row],[Qtde]]*TabelaTianguá[[#This Row],[Vl. Unitário]]</f>
        <v>31.5</v>
      </c>
      <c r="F193" s="7" t="str">
        <f>VLOOKUP(TabelaTianguá[[#This Row],[Código+Produto]],Base!A:C,3,0)</f>
        <v>leite mp</v>
      </c>
      <c r="G193" s="8" t="str">
        <f>VLOOKUP(A193,Base!A:D,4,0)</f>
        <v>LATICINIOS</v>
      </c>
    </row>
    <row r="194" spans="1:7" x14ac:dyDescent="0.25">
      <c r="A194" s="1" t="s">
        <v>5</v>
      </c>
      <c r="B194" s="1" t="s">
        <v>6</v>
      </c>
      <c r="C194" s="3">
        <v>3</v>
      </c>
      <c r="D194" s="2">
        <v>3.5</v>
      </c>
      <c r="E194" s="2">
        <f>TabelaTianguá[[#This Row],[Qtde]]*TabelaTianguá[[#This Row],[Vl. Unitário]]</f>
        <v>10.5</v>
      </c>
      <c r="F194" s="7" t="str">
        <f>VLOOKUP(TabelaTianguá[[#This Row],[Código+Produto]],Base!A:C,3,0)</f>
        <v>leite mp</v>
      </c>
      <c r="G194" s="8" t="str">
        <f>VLOOKUP(A194,Base!A:D,4,0)</f>
        <v>LATICINIOS</v>
      </c>
    </row>
    <row r="195" spans="1:7" x14ac:dyDescent="0.25">
      <c r="A195" s="1" t="s">
        <v>5</v>
      </c>
      <c r="B195" s="1" t="s">
        <v>6</v>
      </c>
      <c r="C195" s="3">
        <v>6</v>
      </c>
      <c r="D195" s="2">
        <v>3.5</v>
      </c>
      <c r="E195" s="2">
        <f>TabelaTianguá[[#This Row],[Qtde]]*TabelaTianguá[[#This Row],[Vl. Unitário]]</f>
        <v>21</v>
      </c>
      <c r="F195" s="7" t="str">
        <f>VLOOKUP(TabelaTianguá[[#This Row],[Código+Produto]],Base!A:C,3,0)</f>
        <v>leite mp</v>
      </c>
      <c r="G195" s="8" t="str">
        <f>VLOOKUP(A195,Base!A:D,4,0)</f>
        <v>LATICINIOS</v>
      </c>
    </row>
    <row r="196" spans="1:7" x14ac:dyDescent="0.25">
      <c r="A196" s="1" t="s">
        <v>5</v>
      </c>
      <c r="B196" s="1" t="s">
        <v>6</v>
      </c>
      <c r="C196" s="3">
        <v>11.5</v>
      </c>
      <c r="D196" s="2">
        <v>3.5</v>
      </c>
      <c r="E196" s="2">
        <f>TabelaTianguá[[#This Row],[Qtde]]*TabelaTianguá[[#This Row],[Vl. Unitário]]</f>
        <v>40.25</v>
      </c>
      <c r="F196" s="7" t="str">
        <f>VLOOKUP(TabelaTianguá[[#This Row],[Código+Produto]],Base!A:C,3,0)</f>
        <v>leite mp</v>
      </c>
      <c r="G196" s="8" t="str">
        <f>VLOOKUP(A196,Base!A:D,4,0)</f>
        <v>LATICINIOS</v>
      </c>
    </row>
    <row r="197" spans="1:7" x14ac:dyDescent="0.25">
      <c r="A197" s="1" t="s">
        <v>5</v>
      </c>
      <c r="B197" s="1" t="s">
        <v>6</v>
      </c>
      <c r="C197" s="3">
        <v>12</v>
      </c>
      <c r="D197" s="2">
        <v>3.5</v>
      </c>
      <c r="E197" s="2">
        <f>TabelaTianguá[[#This Row],[Qtde]]*TabelaTianguá[[#This Row],[Vl. Unitário]]</f>
        <v>42</v>
      </c>
      <c r="F197" s="7" t="str">
        <f>VLOOKUP(TabelaTianguá[[#This Row],[Código+Produto]],Base!A:C,3,0)</f>
        <v>leite mp</v>
      </c>
      <c r="G197" s="8" t="str">
        <f>VLOOKUP(A197,Base!A:D,4,0)</f>
        <v>LATICINIOS</v>
      </c>
    </row>
    <row r="198" spans="1:7" x14ac:dyDescent="0.25">
      <c r="A198" s="1" t="s">
        <v>5</v>
      </c>
      <c r="B198" s="1" t="s">
        <v>6</v>
      </c>
      <c r="C198" s="3">
        <v>6</v>
      </c>
      <c r="D198" s="2">
        <v>3.5</v>
      </c>
      <c r="E198" s="2">
        <f>TabelaTianguá[[#This Row],[Qtde]]*TabelaTianguá[[#This Row],[Vl. Unitário]]</f>
        <v>21</v>
      </c>
      <c r="F198" s="40" t="str">
        <f>VLOOKUP(TabelaTianguá[[#This Row],[Código+Produto]],Base!A:C,3,0)</f>
        <v>leite mp</v>
      </c>
      <c r="G198" s="8" t="str">
        <f>VLOOKUP(A198,Base!A:D,4,0)</f>
        <v>LATICINIOS</v>
      </c>
    </row>
    <row r="199" spans="1:7" x14ac:dyDescent="0.25">
      <c r="A199" s="1" t="s">
        <v>5</v>
      </c>
      <c r="B199" s="1" t="s">
        <v>6</v>
      </c>
      <c r="C199" s="3">
        <v>12</v>
      </c>
      <c r="D199" s="2">
        <v>3.5</v>
      </c>
      <c r="E199" s="2">
        <f>TabelaTianguá[[#This Row],[Qtde]]*TabelaTianguá[[#This Row],[Vl. Unitário]]</f>
        <v>42</v>
      </c>
      <c r="F199" s="40" t="str">
        <f>VLOOKUP(TabelaTianguá[[#This Row],[Código+Produto]],Base!A:C,3,0)</f>
        <v>leite mp</v>
      </c>
      <c r="G199" s="8" t="str">
        <f>VLOOKUP(A199,Base!A:D,4,0)</f>
        <v>LATICINIOS</v>
      </c>
    </row>
    <row r="200" spans="1:7" x14ac:dyDescent="0.25">
      <c r="A200" s="1" t="s">
        <v>5</v>
      </c>
      <c r="B200" s="1" t="s">
        <v>6</v>
      </c>
      <c r="C200" s="3">
        <v>8</v>
      </c>
      <c r="D200" s="2">
        <v>3.5</v>
      </c>
      <c r="E200" s="2">
        <f>TabelaTianguá[[#This Row],[Qtde]]*TabelaTianguá[[#This Row],[Vl. Unitário]]</f>
        <v>28</v>
      </c>
      <c r="F200" s="40" t="str">
        <f>VLOOKUP(TabelaTianguá[[#This Row],[Código+Produto]],Base!A:C,3,0)</f>
        <v>leite mp</v>
      </c>
      <c r="G200" s="8" t="str">
        <f>VLOOKUP(A200,Base!A:D,4,0)</f>
        <v>LATICINIOS</v>
      </c>
    </row>
    <row r="201" spans="1:7" x14ac:dyDescent="0.25">
      <c r="A201" s="1" t="s">
        <v>5</v>
      </c>
      <c r="B201" s="1" t="s">
        <v>6</v>
      </c>
      <c r="C201" s="3">
        <v>12</v>
      </c>
      <c r="D201" s="2">
        <v>3.5</v>
      </c>
      <c r="E201" s="2">
        <f>TabelaTianguá[[#This Row],[Qtde]]*TabelaTianguá[[#This Row],[Vl. Unitário]]</f>
        <v>42</v>
      </c>
      <c r="F201" s="40" t="str">
        <f>VLOOKUP(TabelaTianguá[[#This Row],[Código+Produto]],Base!A:C,3,0)</f>
        <v>leite mp</v>
      </c>
      <c r="G201" s="8" t="str">
        <f>VLOOKUP(A201,Base!A:D,4,0)</f>
        <v>LATICINIOS</v>
      </c>
    </row>
    <row r="202" spans="1:7" x14ac:dyDescent="0.25">
      <c r="A202" s="1" t="s">
        <v>1205</v>
      </c>
      <c r="B202" s="1" t="s">
        <v>1</v>
      </c>
      <c r="C202" s="3">
        <v>14</v>
      </c>
      <c r="D202" s="2">
        <v>8.31</v>
      </c>
      <c r="E202" s="2">
        <f>TabelaTianguá[[#This Row],[Qtde]]*TabelaTianguá[[#This Row],[Vl. Unitário]]</f>
        <v>116.34</v>
      </c>
      <c r="F202" s="40" t="str">
        <f>VLOOKUP(TabelaTianguá[[#This Row],[Código+Produto]],Base!A:C,3,0)</f>
        <v>margarina mp</v>
      </c>
      <c r="G202" s="8" t="str">
        <f>VLOOKUP(A202,Base!A:D,4,0)</f>
        <v>LATICINIOS</v>
      </c>
    </row>
    <row r="203" spans="1:7" x14ac:dyDescent="0.25">
      <c r="A203" s="1" t="s">
        <v>7</v>
      </c>
      <c r="B203" s="1" t="s">
        <v>1</v>
      </c>
      <c r="C203" s="3">
        <v>3.85</v>
      </c>
      <c r="D203" s="2">
        <v>27.670200000000001</v>
      </c>
      <c r="E203" s="2">
        <f>TabelaTianguá[[#This Row],[Qtde]]*TabelaTianguá[[#This Row],[Vl. Unitário]]</f>
        <v>106.53027</v>
      </c>
      <c r="F203" s="7" t="str">
        <f>VLOOKUP(TabelaTianguá[[#This Row],[Código+Produto]],Base!A:C,3,0)</f>
        <v>queijo coalho mp</v>
      </c>
      <c r="G203" s="8" t="str">
        <f>VLOOKUP(A203,Base!A:D,4,0)</f>
        <v>LATICINIOS</v>
      </c>
    </row>
    <row r="204" spans="1:7" x14ac:dyDescent="0.25">
      <c r="A204" s="1" t="s">
        <v>7</v>
      </c>
      <c r="B204" s="1" t="s">
        <v>1</v>
      </c>
      <c r="C204" s="3">
        <v>1.9</v>
      </c>
      <c r="D204" s="2">
        <v>27.670200000000001</v>
      </c>
      <c r="E204" s="2">
        <f>TabelaTianguá[[#This Row],[Qtde]]*TabelaTianguá[[#This Row],[Vl. Unitário]]</f>
        <v>52.57338</v>
      </c>
      <c r="F204" s="7" t="str">
        <f>VLOOKUP(TabelaTianguá[[#This Row],[Código+Produto]],Base!A:C,3,0)</f>
        <v>queijo coalho mp</v>
      </c>
      <c r="G204" s="8" t="str">
        <f>VLOOKUP(A204,Base!A:D,4,0)</f>
        <v>LATICINIOS</v>
      </c>
    </row>
    <row r="205" spans="1:7" x14ac:dyDescent="0.25">
      <c r="A205" s="1" t="s">
        <v>7</v>
      </c>
      <c r="B205" s="1" t="s">
        <v>1</v>
      </c>
      <c r="C205" s="3">
        <v>3.9</v>
      </c>
      <c r="D205" s="2">
        <v>21.029199999999999</v>
      </c>
      <c r="E205" s="2">
        <f>TabelaTianguá[[#This Row],[Qtde]]*TabelaTianguá[[#This Row],[Vl. Unitário]]</f>
        <v>82.01388</v>
      </c>
      <c r="F205" s="7" t="str">
        <f>VLOOKUP(TabelaTianguá[[#This Row],[Código+Produto]],Base!A:C,3,0)</f>
        <v>queijo coalho mp</v>
      </c>
      <c r="G205" s="8" t="str">
        <f>VLOOKUP(A205,Base!A:D,4,0)</f>
        <v>LATICINIOS</v>
      </c>
    </row>
    <row r="206" spans="1:7" x14ac:dyDescent="0.25">
      <c r="A206" s="1" t="s">
        <v>7</v>
      </c>
      <c r="B206" s="1" t="s">
        <v>1</v>
      </c>
      <c r="C206" s="3">
        <v>1.9</v>
      </c>
      <c r="D206" s="2">
        <v>21.029199999999999</v>
      </c>
      <c r="E206" s="2">
        <f>TabelaTianguá[[#This Row],[Qtde]]*TabelaTianguá[[#This Row],[Vl. Unitário]]</f>
        <v>39.955479999999994</v>
      </c>
      <c r="F206" s="7" t="str">
        <f>VLOOKUP(TabelaTianguá[[#This Row],[Código+Produto]],Base!A:C,3,0)</f>
        <v>queijo coalho mp</v>
      </c>
      <c r="G206" s="8" t="str">
        <f>VLOOKUP(A206,Base!A:D,4,0)</f>
        <v>LATICINIOS</v>
      </c>
    </row>
    <row r="207" spans="1:7" x14ac:dyDescent="0.25">
      <c r="A207" s="1" t="s">
        <v>7</v>
      </c>
      <c r="B207" s="1" t="s">
        <v>1</v>
      </c>
      <c r="C207" s="3">
        <v>2</v>
      </c>
      <c r="D207" s="2">
        <v>21.029199999999999</v>
      </c>
      <c r="E207" s="2">
        <f>TabelaTianguá[[#This Row],[Qtde]]*TabelaTianguá[[#This Row],[Vl. Unitário]]</f>
        <v>42.058399999999999</v>
      </c>
      <c r="F207" s="7" t="str">
        <f>VLOOKUP(TabelaTianguá[[#This Row],[Código+Produto]],Base!A:C,3,0)</f>
        <v>queijo coalho mp</v>
      </c>
      <c r="G207" s="8" t="str">
        <f>VLOOKUP(A207,Base!A:D,4,0)</f>
        <v>LATICINIOS</v>
      </c>
    </row>
    <row r="208" spans="1:7" x14ac:dyDescent="0.25">
      <c r="A208" s="1" t="s">
        <v>7</v>
      </c>
      <c r="B208" s="1" t="s">
        <v>1</v>
      </c>
      <c r="C208" s="3">
        <v>2.2999999999999998</v>
      </c>
      <c r="D208" s="2">
        <v>21.029199999999999</v>
      </c>
      <c r="E208" s="2">
        <f>TabelaTianguá[[#This Row],[Qtde]]*TabelaTianguá[[#This Row],[Vl. Unitário]]</f>
        <v>48.367159999999998</v>
      </c>
      <c r="F208" s="7" t="str">
        <f>VLOOKUP(TabelaTianguá[[#This Row],[Código+Produto]],Base!A:C,3,0)</f>
        <v>queijo coalho mp</v>
      </c>
      <c r="G208" s="8" t="str">
        <f>VLOOKUP(A208,Base!A:D,4,0)</f>
        <v>LATICINIOS</v>
      </c>
    </row>
    <row r="209" spans="1:7" x14ac:dyDescent="0.25">
      <c r="A209" s="1" t="s">
        <v>7</v>
      </c>
      <c r="B209" s="1" t="s">
        <v>1</v>
      </c>
      <c r="C209" s="3">
        <v>2.15</v>
      </c>
      <c r="D209" s="2">
        <v>21.029199999999999</v>
      </c>
      <c r="E209" s="2">
        <f>TabelaTianguá[[#This Row],[Qtde]]*TabelaTianguá[[#This Row],[Vl. Unitário]]</f>
        <v>45.212779999999995</v>
      </c>
      <c r="F209" s="40" t="str">
        <f>VLOOKUP(TabelaTianguá[[#This Row],[Código+Produto]],Base!A:C,3,0)</f>
        <v>queijo coalho mp</v>
      </c>
      <c r="G209" s="8" t="str">
        <f>VLOOKUP(A209,Base!A:D,4,0)</f>
        <v>LATICINIOS</v>
      </c>
    </row>
    <row r="210" spans="1:7" x14ac:dyDescent="0.25">
      <c r="A210" s="1" t="s">
        <v>7</v>
      </c>
      <c r="B210" s="1" t="s">
        <v>1</v>
      </c>
      <c r="C210" s="3">
        <v>2.4</v>
      </c>
      <c r="D210" s="2">
        <v>21.029199999999999</v>
      </c>
      <c r="E210" s="2">
        <f>TabelaTianguá[[#This Row],[Qtde]]*TabelaTianguá[[#This Row],[Vl. Unitário]]</f>
        <v>50.470079999999996</v>
      </c>
      <c r="F210" s="40" t="str">
        <f>VLOOKUP(TabelaTianguá[[#This Row],[Código+Produto]],Base!A:C,3,0)</f>
        <v>queijo coalho mp</v>
      </c>
      <c r="G210" s="8" t="str">
        <f>VLOOKUP(A210,Base!A:D,4,0)</f>
        <v>LATICINIOS</v>
      </c>
    </row>
    <row r="211" spans="1:7" x14ac:dyDescent="0.25">
      <c r="A211" s="1" t="s">
        <v>15</v>
      </c>
      <c r="B211" s="1" t="s">
        <v>1</v>
      </c>
      <c r="C211" s="3">
        <v>1.95</v>
      </c>
      <c r="D211" s="2">
        <v>31.5</v>
      </c>
      <c r="E211" s="2">
        <f>TabelaTianguá[[#This Row],[Qtde]]*TabelaTianguá[[#This Row],[Vl. Unitário]]</f>
        <v>61.424999999999997</v>
      </c>
      <c r="F211" s="7" t="str">
        <f>VLOOKUP(TabelaTianguá[[#This Row],[Código+Produto]],Base!A:C,3,0)</f>
        <v>queijo mussarela mp</v>
      </c>
      <c r="G211" s="8" t="str">
        <f>VLOOKUP(A211,Base!A:D,4,0)</f>
        <v>LATICINIOS</v>
      </c>
    </row>
    <row r="212" spans="1:7" x14ac:dyDescent="0.25">
      <c r="A212" s="1" t="s">
        <v>15</v>
      </c>
      <c r="B212" s="1" t="s">
        <v>1</v>
      </c>
      <c r="C212" s="3">
        <v>1.18</v>
      </c>
      <c r="D212" s="2">
        <v>31.5</v>
      </c>
      <c r="E212" s="2">
        <f>TabelaTianguá[[#This Row],[Qtde]]*TabelaTianguá[[#This Row],[Vl. Unitário]]</f>
        <v>37.169999999999995</v>
      </c>
      <c r="F212" s="7" t="str">
        <f>VLOOKUP(TabelaTianguá[[#This Row],[Código+Produto]],Base!A:C,3,0)</f>
        <v>queijo mussarela mp</v>
      </c>
      <c r="G212" s="8" t="str">
        <f>VLOOKUP(A212,Base!A:D,4,0)</f>
        <v>LATICINIOS</v>
      </c>
    </row>
    <row r="213" spans="1:7" x14ac:dyDescent="0.25">
      <c r="A213" s="1" t="s">
        <v>15</v>
      </c>
      <c r="B213" s="1" t="s">
        <v>1</v>
      </c>
      <c r="C213" s="3">
        <v>4.5</v>
      </c>
      <c r="D213" s="2">
        <v>31.5</v>
      </c>
      <c r="E213" s="2">
        <f>TabelaTianguá[[#This Row],[Qtde]]*TabelaTianguá[[#This Row],[Vl. Unitário]]</f>
        <v>141.75</v>
      </c>
      <c r="F213" s="7" t="str">
        <f>VLOOKUP(TabelaTianguá[[#This Row],[Código+Produto]],Base!A:C,3,0)</f>
        <v>queijo mussarela mp</v>
      </c>
      <c r="G213" s="8" t="str">
        <f>VLOOKUP(A213,Base!A:D,4,0)</f>
        <v>LATICINIOS</v>
      </c>
    </row>
    <row r="214" spans="1:7" x14ac:dyDescent="0.25">
      <c r="A214" s="1" t="s">
        <v>15</v>
      </c>
      <c r="B214" s="1" t="s">
        <v>1</v>
      </c>
      <c r="C214" s="3">
        <v>4.32</v>
      </c>
      <c r="D214" s="2">
        <v>31.5</v>
      </c>
      <c r="E214" s="2">
        <f>TabelaTianguá[[#This Row],[Qtde]]*TabelaTianguá[[#This Row],[Vl. Unitário]]</f>
        <v>136.08000000000001</v>
      </c>
      <c r="F214" s="7" t="str">
        <f>VLOOKUP(TabelaTianguá[[#This Row],[Código+Produto]],Base!A:C,3,0)</f>
        <v>queijo mussarela mp</v>
      </c>
      <c r="G214" s="8" t="str">
        <f>VLOOKUP(A214,Base!A:D,4,0)</f>
        <v>LATICINIOS</v>
      </c>
    </row>
    <row r="215" spans="1:7" x14ac:dyDescent="0.25">
      <c r="A215" s="1" t="s">
        <v>15</v>
      </c>
      <c r="B215" s="1" t="s">
        <v>1</v>
      </c>
      <c r="C215" s="3">
        <v>4.0999999999999996</v>
      </c>
      <c r="D215" s="2">
        <v>30.990100000000002</v>
      </c>
      <c r="E215" s="2">
        <f>TabelaTianguá[[#This Row],[Qtde]]*TabelaTianguá[[#This Row],[Vl. Unitário]]</f>
        <v>127.05941</v>
      </c>
      <c r="F215" s="7" t="str">
        <f>VLOOKUP(TabelaTianguá[[#This Row],[Código+Produto]],Base!A:C,3,0)</f>
        <v>queijo mussarela mp</v>
      </c>
      <c r="G215" s="8" t="str">
        <f>VLOOKUP(A215,Base!A:D,4,0)</f>
        <v>LATICINIOS</v>
      </c>
    </row>
    <row r="216" spans="1:7" x14ac:dyDescent="0.25">
      <c r="A216" s="1" t="s">
        <v>15</v>
      </c>
      <c r="B216" s="1" t="s">
        <v>1</v>
      </c>
      <c r="C216" s="3">
        <v>2</v>
      </c>
      <c r="D216" s="2">
        <v>30.990100000000002</v>
      </c>
      <c r="E216" s="2">
        <f>TabelaTianguá[[#This Row],[Qtde]]*TabelaTianguá[[#This Row],[Vl. Unitário]]</f>
        <v>61.980200000000004</v>
      </c>
      <c r="F216" s="7" t="str">
        <f>VLOOKUP(TabelaTianguá[[#This Row],[Código+Produto]],Base!A:C,3,0)</f>
        <v>queijo mussarela mp</v>
      </c>
      <c r="G216" s="8" t="str">
        <f>VLOOKUP(A216,Base!A:D,4,0)</f>
        <v>LATICINIOS</v>
      </c>
    </row>
    <row r="217" spans="1:7" x14ac:dyDescent="0.25">
      <c r="A217" s="1" t="s">
        <v>15</v>
      </c>
      <c r="B217" s="1" t="s">
        <v>1</v>
      </c>
      <c r="C217" s="3">
        <v>2</v>
      </c>
      <c r="D217" s="2">
        <v>30.990100000000002</v>
      </c>
      <c r="E217" s="2">
        <f>TabelaTianguá[[#This Row],[Qtde]]*TabelaTianguá[[#This Row],[Vl. Unitário]]</f>
        <v>61.980200000000004</v>
      </c>
      <c r="F217" s="7" t="str">
        <f>VLOOKUP(TabelaTianguá[[#This Row],[Código+Produto]],Base!A:C,3,0)</f>
        <v>queijo mussarela mp</v>
      </c>
      <c r="G217" s="8" t="str">
        <f>VLOOKUP(A217,Base!A:D,4,0)</f>
        <v>LATICINIOS</v>
      </c>
    </row>
    <row r="218" spans="1:7" x14ac:dyDescent="0.25">
      <c r="A218" s="1" t="s">
        <v>15</v>
      </c>
      <c r="B218" s="1" t="s">
        <v>1</v>
      </c>
      <c r="C218" s="3">
        <v>4.0999999999999996</v>
      </c>
      <c r="D218" s="2">
        <v>30.990100000000002</v>
      </c>
      <c r="E218" s="2">
        <f>TabelaTianguá[[#This Row],[Qtde]]*TabelaTianguá[[#This Row],[Vl. Unitário]]</f>
        <v>127.05941</v>
      </c>
      <c r="F218" s="7" t="str">
        <f>VLOOKUP(TabelaTianguá[[#This Row],[Código+Produto]],Base!A:C,3,0)</f>
        <v>queijo mussarela mp</v>
      </c>
      <c r="G218" s="8" t="str">
        <f>VLOOKUP(A218,Base!A:D,4,0)</f>
        <v>LATICINIOS</v>
      </c>
    </row>
    <row r="219" spans="1:7" x14ac:dyDescent="0.25">
      <c r="A219" s="1" t="s">
        <v>15</v>
      </c>
      <c r="B219" s="1" t="s">
        <v>1</v>
      </c>
      <c r="C219" s="3">
        <v>2.85</v>
      </c>
      <c r="D219" s="2">
        <v>30.990100000000002</v>
      </c>
      <c r="E219" s="2">
        <f>TabelaTianguá[[#This Row],[Qtde]]*TabelaTianguá[[#This Row],[Vl. Unitário]]</f>
        <v>88.321785000000006</v>
      </c>
      <c r="F219" s="40" t="str">
        <f>VLOOKUP(TabelaTianguá[[#This Row],[Código+Produto]],Base!A:C,3,0)</f>
        <v>queijo mussarela mp</v>
      </c>
      <c r="G219" s="8" t="str">
        <f>VLOOKUP(A219,Base!A:D,4,0)</f>
        <v>LATICINIOS</v>
      </c>
    </row>
    <row r="220" spans="1:7" x14ac:dyDescent="0.25">
      <c r="A220" s="1" t="s">
        <v>15</v>
      </c>
      <c r="B220" s="1" t="s">
        <v>1</v>
      </c>
      <c r="C220" s="3">
        <v>2.2400000000000002</v>
      </c>
      <c r="D220" s="2">
        <v>30.990100000000002</v>
      </c>
      <c r="E220" s="2">
        <f>TabelaTianguá[[#This Row],[Qtde]]*TabelaTianguá[[#This Row],[Vl. Unitário]]</f>
        <v>69.41782400000001</v>
      </c>
      <c r="F220" s="40" t="str">
        <f>VLOOKUP(TabelaTianguá[[#This Row],[Código+Produto]],Base!A:C,3,0)</f>
        <v>queijo mussarela mp</v>
      </c>
      <c r="G220" s="8" t="str">
        <f>VLOOKUP(A220,Base!A:D,4,0)</f>
        <v>LATICINIOS</v>
      </c>
    </row>
    <row r="221" spans="1:7" x14ac:dyDescent="0.25">
      <c r="A221" s="1" t="s">
        <v>1215</v>
      </c>
      <c r="B221" s="1" t="s">
        <v>1</v>
      </c>
      <c r="C221" s="3">
        <v>1.3</v>
      </c>
      <c r="D221" s="2">
        <v>62.9</v>
      </c>
      <c r="E221" s="2">
        <f>TabelaTianguá[[#This Row],[Qtde]]*TabelaTianguá[[#This Row],[Vl. Unitário]]</f>
        <v>81.77</v>
      </c>
      <c r="F221" s="7" t="str">
        <f>VLOOKUP(TabelaTianguá[[#This Row],[Código+Produto]],Base!A:C,3,0)</f>
        <v>salmao mp</v>
      </c>
      <c r="G221" s="8" t="str">
        <f>VLOOKUP(A221,Base!A:D,4,0)</f>
        <v>PEIXES E FRUTOS DO MAR</v>
      </c>
    </row>
    <row r="222" spans="1:7" x14ac:dyDescent="0.25">
      <c r="A222" s="1" t="s">
        <v>1215</v>
      </c>
      <c r="B222" s="1" t="s">
        <v>1</v>
      </c>
      <c r="C222" s="3">
        <v>2.15</v>
      </c>
      <c r="D222" s="2">
        <v>62.9</v>
      </c>
      <c r="E222" s="2">
        <f>TabelaTianguá[[#This Row],[Qtde]]*TabelaTianguá[[#This Row],[Vl. Unitário]]</f>
        <v>135.23499999999999</v>
      </c>
      <c r="F222" s="7" t="str">
        <f>VLOOKUP(TabelaTianguá[[#This Row],[Código+Produto]],Base!A:C,3,0)</f>
        <v>salmao mp</v>
      </c>
      <c r="G222" s="8" t="str">
        <f>VLOOKUP(A222,Base!A:D,4,0)</f>
        <v>PEIXES E FRUTOS DO MAR</v>
      </c>
    </row>
    <row r="223" spans="1:7" x14ac:dyDescent="0.25">
      <c r="A223" s="1" t="s">
        <v>1215</v>
      </c>
      <c r="B223" s="1" t="s">
        <v>1</v>
      </c>
      <c r="C223" s="3">
        <v>1.7</v>
      </c>
      <c r="D223" s="2">
        <v>62.9</v>
      </c>
      <c r="E223" s="2">
        <f>TabelaTianguá[[#This Row],[Qtde]]*TabelaTianguá[[#This Row],[Vl. Unitário]]</f>
        <v>106.92999999999999</v>
      </c>
      <c r="F223" s="7" t="str">
        <f>VLOOKUP(TabelaTianguá[[#This Row],[Código+Produto]],Base!A:C,3,0)</f>
        <v>salmao mp</v>
      </c>
      <c r="G223" s="8" t="str">
        <f>VLOOKUP(A223,Base!A:D,4,0)</f>
        <v>PEIXES E FRUTOS DO MAR</v>
      </c>
    </row>
    <row r="224" spans="1:7" x14ac:dyDescent="0.25">
      <c r="A224" s="1" t="s">
        <v>1215</v>
      </c>
      <c r="B224" s="1" t="s">
        <v>1</v>
      </c>
      <c r="C224" s="3">
        <v>0.85</v>
      </c>
      <c r="D224" s="2">
        <v>62.9</v>
      </c>
      <c r="E224" s="2">
        <f>TabelaTianguá[[#This Row],[Qtde]]*TabelaTianguá[[#This Row],[Vl. Unitário]]</f>
        <v>53.464999999999996</v>
      </c>
      <c r="F224" s="40" t="str">
        <f>VLOOKUP(TabelaTianguá[[#This Row],[Código+Produto]],Base!A:C,3,0)</f>
        <v>salmao mp</v>
      </c>
      <c r="G224" s="8" t="str">
        <f>VLOOKUP(A224,Base!A:D,4,0)</f>
        <v>PEIXES E FRUTOS DO MAR</v>
      </c>
    </row>
    <row r="225" spans="1:7" x14ac:dyDescent="0.25">
      <c r="A225" s="1" t="s">
        <v>37</v>
      </c>
      <c r="B225" s="1" t="s">
        <v>1</v>
      </c>
      <c r="C225" s="3">
        <v>4.0999999999999996</v>
      </c>
      <c r="D225" s="2">
        <v>31</v>
      </c>
      <c r="E225" s="2">
        <f>TabelaTianguá[[#This Row],[Qtde]]*TabelaTianguá[[#This Row],[Vl. Unitário]]</f>
        <v>127.1</v>
      </c>
      <c r="F225" s="7" t="str">
        <f>VLOOKUP(TabelaTianguá[[#This Row],[Código+Produto]],Base!A:C,3,0)</f>
        <v>camarao mp</v>
      </c>
      <c r="G225" s="8" t="str">
        <f>VLOOKUP(A225,Base!A:D,4,0)</f>
        <v>PEIXES E FRUTOS DO MAR</v>
      </c>
    </row>
    <row r="226" spans="1:7" x14ac:dyDescent="0.25">
      <c r="A226" s="1" t="s">
        <v>37</v>
      </c>
      <c r="B226" s="1" t="s">
        <v>1</v>
      </c>
      <c r="C226" s="3">
        <v>3.75</v>
      </c>
      <c r="D226" s="2">
        <v>33</v>
      </c>
      <c r="E226" s="2">
        <f>TabelaTianguá[[#This Row],[Qtde]]*TabelaTianguá[[#This Row],[Vl. Unitário]]</f>
        <v>123.75</v>
      </c>
      <c r="F226" s="7" t="str">
        <f>VLOOKUP(TabelaTianguá[[#This Row],[Código+Produto]],Base!A:C,3,0)</f>
        <v>camarao mp</v>
      </c>
      <c r="G226" s="8" t="str">
        <f>VLOOKUP(A226,Base!A:D,4,0)</f>
        <v>PEIXES E FRUTOS DO MAR</v>
      </c>
    </row>
    <row r="227" spans="1:7" x14ac:dyDescent="0.25">
      <c r="A227" s="1" t="s">
        <v>37</v>
      </c>
      <c r="B227" s="1" t="s">
        <v>1</v>
      </c>
      <c r="C227" s="3">
        <v>4.2</v>
      </c>
      <c r="D227" s="2">
        <v>33</v>
      </c>
      <c r="E227" s="2">
        <f>TabelaTianguá[[#This Row],[Qtde]]*TabelaTianguá[[#This Row],[Vl. Unitário]]</f>
        <v>138.6</v>
      </c>
      <c r="F227" s="7" t="str">
        <f>VLOOKUP(TabelaTianguá[[#This Row],[Código+Produto]],Base!A:C,3,0)</f>
        <v>camarao mp</v>
      </c>
      <c r="G227" s="8" t="str">
        <f>VLOOKUP(A227,Base!A:D,4,0)</f>
        <v>PEIXES E FRUTOS DO MAR</v>
      </c>
    </row>
    <row r="228" spans="1:7" x14ac:dyDescent="0.25">
      <c r="A228" s="1" t="s">
        <v>37</v>
      </c>
      <c r="B228" s="1" t="s">
        <v>1</v>
      </c>
      <c r="C228" s="3">
        <v>4.2</v>
      </c>
      <c r="D228" s="2">
        <v>33</v>
      </c>
      <c r="E228" s="2">
        <f>TabelaTianguá[[#This Row],[Qtde]]*TabelaTianguá[[#This Row],[Vl. Unitário]]</f>
        <v>138.6</v>
      </c>
      <c r="F228" s="7" t="str">
        <f>VLOOKUP(TabelaTianguá[[#This Row],[Código+Produto]],Base!A:C,3,0)</f>
        <v>camarao mp</v>
      </c>
      <c r="G228" s="8" t="str">
        <f>VLOOKUP(A228,Base!A:D,4,0)</f>
        <v>PEIXES E FRUTOS DO MAR</v>
      </c>
    </row>
    <row r="229" spans="1:7" x14ac:dyDescent="0.25">
      <c r="A229" s="1" t="s">
        <v>37</v>
      </c>
      <c r="B229" s="1" t="s">
        <v>1</v>
      </c>
      <c r="C229" s="3">
        <v>3.55</v>
      </c>
      <c r="D229" s="2">
        <v>33</v>
      </c>
      <c r="E229" s="2">
        <f>TabelaTianguá[[#This Row],[Qtde]]*TabelaTianguá[[#This Row],[Vl. Unitário]]</f>
        <v>117.14999999999999</v>
      </c>
      <c r="F229" s="7" t="str">
        <f>VLOOKUP(TabelaTianguá[[#This Row],[Código+Produto]],Base!A:C,3,0)</f>
        <v>camarao mp</v>
      </c>
      <c r="G229" s="8" t="str">
        <f>VLOOKUP(A229,Base!A:D,4,0)</f>
        <v>PEIXES E FRUTOS DO MAR</v>
      </c>
    </row>
    <row r="230" spans="1:7" x14ac:dyDescent="0.25">
      <c r="A230" s="1" t="s">
        <v>37</v>
      </c>
      <c r="B230" s="1" t="s">
        <v>1</v>
      </c>
      <c r="C230" s="3">
        <v>3.6</v>
      </c>
      <c r="D230" s="2">
        <v>33</v>
      </c>
      <c r="E230" s="2">
        <f>TabelaTianguá[[#This Row],[Qtde]]*TabelaTianguá[[#This Row],[Vl. Unitário]]</f>
        <v>118.8</v>
      </c>
      <c r="F230" s="7" t="str">
        <f>VLOOKUP(TabelaTianguá[[#This Row],[Código+Produto]],Base!A:C,3,0)</f>
        <v>camarao mp</v>
      </c>
      <c r="G230" s="8" t="str">
        <f>VLOOKUP(A230,Base!A:D,4,0)</f>
        <v>PEIXES E FRUTOS DO MAR</v>
      </c>
    </row>
    <row r="231" spans="1:7" x14ac:dyDescent="0.25">
      <c r="A231" s="1" t="s">
        <v>37</v>
      </c>
      <c r="B231" s="1" t="s">
        <v>1</v>
      </c>
      <c r="C231" s="3">
        <v>4.6500000000000004</v>
      </c>
      <c r="D231" s="2">
        <v>33</v>
      </c>
      <c r="E231" s="2">
        <f>TabelaTianguá[[#This Row],[Qtde]]*TabelaTianguá[[#This Row],[Vl. Unitário]]</f>
        <v>153.45000000000002</v>
      </c>
      <c r="F231" s="7" t="str">
        <f>VLOOKUP(TabelaTianguá[[#This Row],[Código+Produto]],Base!A:C,3,0)</f>
        <v>camarao mp</v>
      </c>
      <c r="G231" s="8" t="str">
        <f>VLOOKUP(A231,Base!A:D,4,0)</f>
        <v>PEIXES E FRUTOS DO MAR</v>
      </c>
    </row>
    <row r="232" spans="1:7" x14ac:dyDescent="0.25">
      <c r="A232" s="1" t="s">
        <v>37</v>
      </c>
      <c r="B232" s="1" t="s">
        <v>1</v>
      </c>
      <c r="C232" s="3">
        <v>3</v>
      </c>
      <c r="D232" s="2">
        <v>33</v>
      </c>
      <c r="E232" s="2">
        <f>TabelaTianguá[[#This Row],[Qtde]]*TabelaTianguá[[#This Row],[Vl. Unitário]]</f>
        <v>99</v>
      </c>
      <c r="F232" s="7" t="str">
        <f>VLOOKUP(TabelaTianguá[[#This Row],[Código+Produto]],Base!A:C,3,0)</f>
        <v>camarao mp</v>
      </c>
      <c r="G232" s="8" t="str">
        <f>VLOOKUP(A232,Base!A:D,4,0)</f>
        <v>PEIXES E FRUTOS DO MAR</v>
      </c>
    </row>
    <row r="233" spans="1:7" x14ac:dyDescent="0.25">
      <c r="A233" s="1" t="s">
        <v>37</v>
      </c>
      <c r="B233" s="1" t="s">
        <v>1</v>
      </c>
      <c r="C233" s="3">
        <v>4.5</v>
      </c>
      <c r="D233" s="2">
        <v>33</v>
      </c>
      <c r="E233" s="2">
        <f>TabelaTianguá[[#This Row],[Qtde]]*TabelaTianguá[[#This Row],[Vl. Unitário]]</f>
        <v>148.5</v>
      </c>
      <c r="F233" s="40" t="str">
        <f>VLOOKUP(TabelaTianguá[[#This Row],[Código+Produto]],Base!A:C,3,0)</f>
        <v>camarao mp</v>
      </c>
      <c r="G233" s="8" t="str">
        <f>VLOOKUP(A233,Base!A:D,4,0)</f>
        <v>PEIXES E FRUTOS DO MAR</v>
      </c>
    </row>
    <row r="234" spans="1:7" x14ac:dyDescent="0.25">
      <c r="A234" s="1" t="s">
        <v>37</v>
      </c>
      <c r="B234" s="1" t="s">
        <v>1</v>
      </c>
      <c r="C234" s="3">
        <v>2.85</v>
      </c>
      <c r="D234" s="2">
        <v>33</v>
      </c>
      <c r="E234" s="2">
        <f>TabelaTianguá[[#This Row],[Qtde]]*TabelaTianguá[[#This Row],[Vl. Unitário]]</f>
        <v>94.05</v>
      </c>
      <c r="F234" s="40" t="str">
        <f>VLOOKUP(TabelaTianguá[[#This Row],[Código+Produto]],Base!A:C,3,0)</f>
        <v>camarao mp</v>
      </c>
      <c r="G234" s="8" t="str">
        <f>VLOOKUP(A234,Base!A:D,4,0)</f>
        <v>PEIXES E FRUTOS DO MAR</v>
      </c>
    </row>
    <row r="235" spans="1:7" x14ac:dyDescent="0.25">
      <c r="A235" s="1" t="s">
        <v>37</v>
      </c>
      <c r="B235" s="1" t="s">
        <v>1</v>
      </c>
      <c r="C235" s="3">
        <v>3.9</v>
      </c>
      <c r="D235" s="2">
        <v>33</v>
      </c>
      <c r="E235" s="2">
        <f>TabelaTianguá[[#This Row],[Qtde]]*TabelaTianguá[[#This Row],[Vl. Unitário]]</f>
        <v>128.69999999999999</v>
      </c>
      <c r="F235" s="40" t="str">
        <f>VLOOKUP(TabelaTianguá[[#This Row],[Código+Produto]],Base!A:C,3,0)</f>
        <v>camarao mp</v>
      </c>
      <c r="G235" s="8" t="str">
        <f>VLOOKUP(A235,Base!A:D,4,0)</f>
        <v>PEIXES E FRUTOS DO MAR</v>
      </c>
    </row>
    <row r="236" spans="1:7" x14ac:dyDescent="0.25">
      <c r="A236" s="1" t="s">
        <v>37</v>
      </c>
      <c r="B236" s="1" t="s">
        <v>1</v>
      </c>
      <c r="C236" s="3">
        <v>4.1500000000000004</v>
      </c>
      <c r="D236" s="2">
        <v>33</v>
      </c>
      <c r="E236" s="2">
        <f>TabelaTianguá[[#This Row],[Qtde]]*TabelaTianguá[[#This Row],[Vl. Unitário]]</f>
        <v>136.95000000000002</v>
      </c>
      <c r="F236" s="40" t="str">
        <f>VLOOKUP(TabelaTianguá[[#This Row],[Código+Produto]],Base!A:C,3,0)</f>
        <v>camarao mp</v>
      </c>
      <c r="G236" s="8" t="str">
        <f>VLOOKUP(A236,Base!A:D,4,0)</f>
        <v>PEIXES E FRUTOS DO MAR</v>
      </c>
    </row>
    <row r="237" spans="1:7" x14ac:dyDescent="0.25">
      <c r="A237" s="1" t="s">
        <v>1196</v>
      </c>
      <c r="B237" s="1" t="s">
        <v>1</v>
      </c>
      <c r="C237" s="3">
        <v>5</v>
      </c>
      <c r="D237" s="2">
        <v>3</v>
      </c>
      <c r="E237" s="2">
        <f>TabelaTianguá[[#This Row],[Qtde]]*TabelaTianguá[[#This Row],[Vl. Unitário]]</f>
        <v>15</v>
      </c>
      <c r="F237" s="7" t="str">
        <f>VLOOKUP(TabelaTianguá[[#This Row],[Código+Produto]],Base!A:C,3,0)</f>
        <v>acucar mp</v>
      </c>
      <c r="G237" s="8" t="str">
        <f>VLOOKUP(A237,Base!A:D,4,0)</f>
        <v>SECOS E MERCEARIA</v>
      </c>
    </row>
    <row r="238" spans="1:7" x14ac:dyDescent="0.25">
      <c r="A238" s="1" t="s">
        <v>1211</v>
      </c>
      <c r="B238" s="1" t="s">
        <v>1</v>
      </c>
      <c r="C238" s="3">
        <v>9</v>
      </c>
      <c r="D238" s="2">
        <v>4.57</v>
      </c>
      <c r="E238" s="2">
        <f>TabelaTianguá[[#This Row],[Qtde]]*TabelaTianguá[[#This Row],[Vl. Unitário]]</f>
        <v>41.13</v>
      </c>
      <c r="F238" s="7" t="str">
        <f>VLOOKUP(TabelaTianguá[[#This Row],[Código+Produto]],Base!A:C,3,0)</f>
        <v>arroz branco mp</v>
      </c>
      <c r="G238" s="8" t="str">
        <f>VLOOKUP(A238,Base!A:D,4,0)</f>
        <v>SECOS E MERCEARIA</v>
      </c>
    </row>
    <row r="239" spans="1:7" x14ac:dyDescent="0.25">
      <c r="A239" s="1" t="s">
        <v>49</v>
      </c>
      <c r="B239" s="1" t="s">
        <v>1</v>
      </c>
      <c r="C239" s="3">
        <v>30</v>
      </c>
      <c r="D239" s="2">
        <v>3.9</v>
      </c>
      <c r="E239" s="2">
        <f>TabelaTianguá[[#This Row],[Qtde]]*TabelaTianguá[[#This Row],[Vl. Unitário]]</f>
        <v>117</v>
      </c>
      <c r="F239" s="7" t="str">
        <f>VLOOKUP(TabelaTianguá[[#This Row],[Código+Produto]],Base!A:C,3,0)</f>
        <v>arroz parboilizado mp</v>
      </c>
      <c r="G239" s="8" t="str">
        <f>VLOOKUP(A239,Base!A:D,4,0)</f>
        <v>SECOS E MERCEARIA</v>
      </c>
    </row>
    <row r="240" spans="1:7" x14ac:dyDescent="0.25">
      <c r="A240" s="1" t="s">
        <v>49</v>
      </c>
      <c r="B240" s="1" t="s">
        <v>1</v>
      </c>
      <c r="C240" s="3">
        <v>30</v>
      </c>
      <c r="D240" s="2">
        <v>3.75</v>
      </c>
      <c r="E240" s="2">
        <f>TabelaTianguá[[#This Row],[Qtde]]*TabelaTianguá[[#This Row],[Vl. Unitário]]</f>
        <v>112.5</v>
      </c>
      <c r="F240" s="7" t="str">
        <f>VLOOKUP(TabelaTianguá[[#This Row],[Código+Produto]],Base!A:C,3,0)</f>
        <v>arroz parboilizado mp</v>
      </c>
      <c r="G240" s="8" t="str">
        <f>VLOOKUP(A240,Base!A:D,4,0)</f>
        <v>SECOS E MERCEARIA</v>
      </c>
    </row>
    <row r="241" spans="1:7" x14ac:dyDescent="0.25">
      <c r="A241" s="1" t="s">
        <v>49</v>
      </c>
      <c r="B241" s="1" t="s">
        <v>1</v>
      </c>
      <c r="C241" s="3">
        <v>20</v>
      </c>
      <c r="D241" s="2">
        <v>3.75</v>
      </c>
      <c r="E241" s="2">
        <f>TabelaTianguá[[#This Row],[Qtde]]*TabelaTianguá[[#This Row],[Vl. Unitário]]</f>
        <v>75</v>
      </c>
      <c r="F241" s="40" t="str">
        <f>VLOOKUP(TabelaTianguá[[#This Row],[Código+Produto]],Base!A:C,3,0)</f>
        <v>arroz parboilizado mp</v>
      </c>
      <c r="G241" s="8" t="str">
        <f>VLOOKUP(A241,Base!A:D,4,0)</f>
        <v>SECOS E MERCEARIA</v>
      </c>
    </row>
    <row r="242" spans="1:7" x14ac:dyDescent="0.25">
      <c r="A242" s="1" t="s">
        <v>23</v>
      </c>
      <c r="B242" s="1" t="s">
        <v>1</v>
      </c>
      <c r="C242" s="3">
        <v>2</v>
      </c>
      <c r="D242" s="2">
        <v>12.4071</v>
      </c>
      <c r="E242" s="2">
        <f>TabelaTianguá[[#This Row],[Qtde]]*TabelaTianguá[[#This Row],[Vl. Unitário]]</f>
        <v>24.8142</v>
      </c>
      <c r="F242" s="7" t="str">
        <f>VLOOKUP(TabelaTianguá[[#This Row],[Código+Produto]],Base!A:C,3,0)</f>
        <v>creme culinario mp</v>
      </c>
      <c r="G242" s="8" t="str">
        <f>VLOOKUP(A242,Base!A:D,4,0)</f>
        <v>SECOS E MERCEARIA</v>
      </c>
    </row>
    <row r="243" spans="1:7" x14ac:dyDescent="0.25">
      <c r="A243" s="1" t="s">
        <v>23</v>
      </c>
      <c r="B243" s="1" t="s">
        <v>1</v>
      </c>
      <c r="C243" s="3">
        <v>2</v>
      </c>
      <c r="D243" s="2">
        <v>12.4071</v>
      </c>
      <c r="E243" s="2">
        <f>TabelaTianguá[[#This Row],[Qtde]]*TabelaTianguá[[#This Row],[Vl. Unitário]]</f>
        <v>24.8142</v>
      </c>
      <c r="F243" s="7" t="str">
        <f>VLOOKUP(TabelaTianguá[[#This Row],[Código+Produto]],Base!A:C,3,0)</f>
        <v>creme culinario mp</v>
      </c>
      <c r="G243" s="8" t="str">
        <f>VLOOKUP(A243,Base!A:D,4,0)</f>
        <v>SECOS E MERCEARIA</v>
      </c>
    </row>
    <row r="244" spans="1:7" x14ac:dyDescent="0.25">
      <c r="A244" s="1" t="s">
        <v>23</v>
      </c>
      <c r="B244" s="1" t="s">
        <v>1</v>
      </c>
      <c r="C244" s="3">
        <v>4</v>
      </c>
      <c r="D244" s="2">
        <v>13.09</v>
      </c>
      <c r="E244" s="2">
        <f>TabelaTianguá[[#This Row],[Qtde]]*TabelaTianguá[[#This Row],[Vl. Unitário]]</f>
        <v>52.36</v>
      </c>
      <c r="F244" s="7" t="str">
        <f>VLOOKUP(TabelaTianguá[[#This Row],[Código+Produto]],Base!A:C,3,0)</f>
        <v>creme culinario mp</v>
      </c>
      <c r="G244" s="8" t="str">
        <f>VLOOKUP(A244,Base!A:D,4,0)</f>
        <v>SECOS E MERCEARIA</v>
      </c>
    </row>
    <row r="245" spans="1:7" x14ac:dyDescent="0.25">
      <c r="A245" s="1" t="s">
        <v>38</v>
      </c>
      <c r="B245" s="1" t="s">
        <v>1</v>
      </c>
      <c r="C245" s="3">
        <v>9.3000000000000007</v>
      </c>
      <c r="D245" s="2">
        <v>7</v>
      </c>
      <c r="E245" s="2">
        <f>TabelaTianguá[[#This Row],[Qtde]]*TabelaTianguá[[#This Row],[Vl. Unitário]]</f>
        <v>65.100000000000009</v>
      </c>
      <c r="F245" s="7" t="str">
        <f>VLOOKUP(TabelaTianguá[[#This Row],[Código+Produto]],Base!A:C,3,0)</f>
        <v>farinha de rosca mp</v>
      </c>
      <c r="G245" s="8" t="str">
        <f>VLOOKUP(A245,Base!A:D,4,0)</f>
        <v>SECOS E MERCEARIA</v>
      </c>
    </row>
    <row r="246" spans="1:7" x14ac:dyDescent="0.25">
      <c r="A246" s="1" t="s">
        <v>38</v>
      </c>
      <c r="B246" s="1" t="s">
        <v>1</v>
      </c>
      <c r="C246" s="3">
        <v>4.8499999999999996</v>
      </c>
      <c r="D246" s="2">
        <v>7</v>
      </c>
      <c r="E246" s="2">
        <f>TabelaTianguá[[#This Row],[Qtde]]*TabelaTianguá[[#This Row],[Vl. Unitário]]</f>
        <v>33.949999999999996</v>
      </c>
      <c r="F246" s="7" t="str">
        <f>VLOOKUP(TabelaTianguá[[#This Row],[Código+Produto]],Base!A:C,3,0)</f>
        <v>farinha de rosca mp</v>
      </c>
      <c r="G246" s="8" t="str">
        <f>VLOOKUP(A246,Base!A:D,4,0)</f>
        <v>SECOS E MERCEARIA</v>
      </c>
    </row>
    <row r="247" spans="1:7" x14ac:dyDescent="0.25">
      <c r="A247" s="1" t="s">
        <v>36</v>
      </c>
      <c r="B247" s="1" t="s">
        <v>1</v>
      </c>
      <c r="C247" s="3">
        <v>6.45</v>
      </c>
      <c r="D247" s="2">
        <v>6.5</v>
      </c>
      <c r="E247" s="2">
        <f>TabelaTianguá[[#This Row],[Qtde]]*TabelaTianguá[[#This Row],[Vl. Unitário]]</f>
        <v>41.925000000000004</v>
      </c>
      <c r="F247" s="7" t="str">
        <f>VLOOKUP(TabelaTianguá[[#This Row],[Código+Produto]],Base!A:C,3,0)</f>
        <v>feijao branco mp</v>
      </c>
      <c r="G247" s="8" t="str">
        <f>VLOOKUP(A247,Base!A:D,4,0)</f>
        <v>SECOS E MERCEARIA</v>
      </c>
    </row>
    <row r="248" spans="1:7" x14ac:dyDescent="0.25">
      <c r="A248" s="1" t="s">
        <v>36</v>
      </c>
      <c r="B248" s="1" t="s">
        <v>1</v>
      </c>
      <c r="C248" s="3">
        <v>5.15</v>
      </c>
      <c r="D248" s="2">
        <v>6.5</v>
      </c>
      <c r="E248" s="2">
        <f>TabelaTianguá[[#This Row],[Qtde]]*TabelaTianguá[[#This Row],[Vl. Unitário]]</f>
        <v>33.475000000000001</v>
      </c>
      <c r="F248" s="7" t="str">
        <f>VLOOKUP(TabelaTianguá[[#This Row],[Código+Produto]],Base!A:C,3,0)</f>
        <v>feijao branco mp</v>
      </c>
      <c r="G248" s="8" t="str">
        <f>VLOOKUP(A248,Base!A:D,4,0)</f>
        <v>SECOS E MERCEARIA</v>
      </c>
    </row>
    <row r="249" spans="1:7" x14ac:dyDescent="0.25">
      <c r="A249" s="1" t="s">
        <v>36</v>
      </c>
      <c r="B249" s="1" t="s">
        <v>1</v>
      </c>
      <c r="C249" s="3">
        <v>11.6</v>
      </c>
      <c r="D249" s="2">
        <v>6.5</v>
      </c>
      <c r="E249" s="2">
        <f>TabelaTianguá[[#This Row],[Qtde]]*TabelaTianguá[[#This Row],[Vl. Unitário]]</f>
        <v>75.399999999999991</v>
      </c>
      <c r="F249" s="7" t="str">
        <f>VLOOKUP(TabelaTianguá[[#This Row],[Código+Produto]],Base!A:C,3,0)</f>
        <v>feijao branco mp</v>
      </c>
      <c r="G249" s="8" t="str">
        <f>VLOOKUP(A249,Base!A:D,4,0)</f>
        <v>SECOS E MERCEARIA</v>
      </c>
    </row>
    <row r="250" spans="1:7" x14ac:dyDescent="0.25">
      <c r="A250" s="1" t="s">
        <v>36</v>
      </c>
      <c r="B250" s="1" t="s">
        <v>1</v>
      </c>
      <c r="C250" s="3">
        <v>9.1</v>
      </c>
      <c r="D250" s="2">
        <v>6.5</v>
      </c>
      <c r="E250" s="2">
        <f>TabelaTianguá[[#This Row],[Qtde]]*TabelaTianguá[[#This Row],[Vl. Unitário]]</f>
        <v>59.15</v>
      </c>
      <c r="F250" s="7" t="str">
        <f>VLOOKUP(TabelaTianguá[[#This Row],[Código+Produto]],Base!A:C,3,0)</f>
        <v>feijao branco mp</v>
      </c>
      <c r="G250" s="8" t="str">
        <f>VLOOKUP(A250,Base!A:D,4,0)</f>
        <v>SECOS E MERCEARIA</v>
      </c>
    </row>
    <row r="251" spans="1:7" x14ac:dyDescent="0.25">
      <c r="A251" s="1" t="s">
        <v>36</v>
      </c>
      <c r="B251" s="1" t="s">
        <v>1</v>
      </c>
      <c r="C251" s="3">
        <v>8</v>
      </c>
      <c r="D251" s="2">
        <v>6.5</v>
      </c>
      <c r="E251" s="2">
        <f>TabelaTianguá[[#This Row],[Qtde]]*TabelaTianguá[[#This Row],[Vl. Unitário]]</f>
        <v>52</v>
      </c>
      <c r="F251" s="7" t="str">
        <f>VLOOKUP(TabelaTianguá[[#This Row],[Código+Produto]],Base!A:C,3,0)</f>
        <v>feijao branco mp</v>
      </c>
      <c r="G251" s="8" t="str">
        <f>VLOOKUP(A251,Base!A:D,4,0)</f>
        <v>SECOS E MERCEARIA</v>
      </c>
    </row>
    <row r="252" spans="1:7" x14ac:dyDescent="0.25">
      <c r="A252" s="1" t="s">
        <v>36</v>
      </c>
      <c r="B252" s="1" t="s">
        <v>1</v>
      </c>
      <c r="C252" s="3">
        <v>9.8000000000000007</v>
      </c>
      <c r="D252" s="2">
        <v>6.5</v>
      </c>
      <c r="E252" s="2">
        <f>TabelaTianguá[[#This Row],[Qtde]]*TabelaTianguá[[#This Row],[Vl. Unitário]]</f>
        <v>63.7</v>
      </c>
      <c r="F252" s="40" t="str">
        <f>VLOOKUP(TabelaTianguá[[#This Row],[Código+Produto]],Base!A:C,3,0)</f>
        <v>feijao branco mp</v>
      </c>
      <c r="G252" s="8" t="str">
        <f>VLOOKUP(A252,Base!A:D,4,0)</f>
        <v>SECOS E MERCEARIA</v>
      </c>
    </row>
    <row r="253" spans="1:7" x14ac:dyDescent="0.25">
      <c r="A253" s="1" t="s">
        <v>46</v>
      </c>
      <c r="B253" s="1" t="s">
        <v>1</v>
      </c>
      <c r="C253" s="3">
        <v>3.4</v>
      </c>
      <c r="D253" s="2">
        <v>7.0591999999999997</v>
      </c>
      <c r="E253" s="2">
        <f>TabelaTianguá[[#This Row],[Qtde]]*TabelaTianguá[[#This Row],[Vl. Unitário]]</f>
        <v>24.001279999999998</v>
      </c>
      <c r="F253" s="7" t="str">
        <f>VLOOKUP(TabelaTianguá[[#This Row],[Código+Produto]],Base!A:C,3,0)</f>
        <v>ketchup mp</v>
      </c>
      <c r="G253" s="8" t="str">
        <f>VLOOKUP(A253,Base!A:D,4,0)</f>
        <v>SECOS E MERCEARIA</v>
      </c>
    </row>
    <row r="254" spans="1:7" x14ac:dyDescent="0.25">
      <c r="A254" s="1" t="s">
        <v>46</v>
      </c>
      <c r="B254" s="1" t="s">
        <v>1</v>
      </c>
      <c r="C254" s="3">
        <v>3.4</v>
      </c>
      <c r="D254" s="2">
        <v>7.0591999999999997</v>
      </c>
      <c r="E254" s="2">
        <f>TabelaTianguá[[#This Row],[Qtde]]*TabelaTianguá[[#This Row],[Vl. Unitário]]</f>
        <v>24.001279999999998</v>
      </c>
      <c r="F254" s="7" t="str">
        <f>VLOOKUP(TabelaTianguá[[#This Row],[Código+Produto]],Base!A:C,3,0)</f>
        <v>ketchup mp</v>
      </c>
      <c r="G254" s="8" t="str">
        <f>VLOOKUP(A254,Base!A:D,4,0)</f>
        <v>SECOS E MERCEARIA</v>
      </c>
    </row>
    <row r="255" spans="1:7" x14ac:dyDescent="0.25">
      <c r="A255" s="1" t="s">
        <v>42</v>
      </c>
      <c r="B255" s="1" t="s">
        <v>43</v>
      </c>
      <c r="C255" s="3">
        <v>14</v>
      </c>
      <c r="D255" s="2">
        <v>2.99</v>
      </c>
      <c r="E255" s="2">
        <f>TabelaTianguá[[#This Row],[Qtde]]*TabelaTianguá[[#This Row],[Vl. Unitário]]</f>
        <v>41.86</v>
      </c>
      <c r="F255" s="40" t="str">
        <f>VLOOKUP(TabelaTianguá[[#This Row],[Código+Produto]],Base!A:C,3,0)</f>
        <v>macarrao espaguete mp</v>
      </c>
      <c r="G255" s="8" t="str">
        <f>VLOOKUP(A255,Base!A:D,4,0)</f>
        <v>SECOS E MERCEARIA</v>
      </c>
    </row>
    <row r="256" spans="1:7" x14ac:dyDescent="0.25">
      <c r="A256" s="1" t="s">
        <v>39</v>
      </c>
      <c r="B256" s="1" t="s">
        <v>1</v>
      </c>
      <c r="C256" s="3">
        <v>16.8</v>
      </c>
      <c r="D256" s="2">
        <v>10.670999999999999</v>
      </c>
      <c r="E256" s="2">
        <f>TabelaTianguá[[#This Row],[Qtde]]*TabelaTianguá[[#This Row],[Vl. Unitário]]</f>
        <v>179.27279999999999</v>
      </c>
      <c r="F256" s="7" t="str">
        <f>VLOOKUP(TabelaTianguá[[#This Row],[Código+Produto]],Base!A:C,3,0)</f>
        <v>maionese mp</v>
      </c>
      <c r="G256" s="8" t="str">
        <f>VLOOKUP(A256,Base!A:D,4,0)</f>
        <v>SECOS E MERCEARIA</v>
      </c>
    </row>
    <row r="257" spans="1:7" x14ac:dyDescent="0.25">
      <c r="A257" s="1" t="s">
        <v>39</v>
      </c>
      <c r="B257" s="1" t="s">
        <v>1</v>
      </c>
      <c r="C257" s="3">
        <v>16.8</v>
      </c>
      <c r="D257" s="2">
        <v>10.774699999999999</v>
      </c>
      <c r="E257" s="2">
        <f>TabelaTianguá[[#This Row],[Qtde]]*TabelaTianguá[[#This Row],[Vl. Unitário]]</f>
        <v>181.01496</v>
      </c>
      <c r="F257" s="7" t="str">
        <f>VLOOKUP(TabelaTianguá[[#This Row],[Código+Produto]],Base!A:C,3,0)</f>
        <v>maionese mp</v>
      </c>
      <c r="G257" s="8" t="str">
        <f>VLOOKUP(A257,Base!A:D,4,0)</f>
        <v>SECOS E MERCEARIA</v>
      </c>
    </row>
    <row r="258" spans="1:7" x14ac:dyDescent="0.25">
      <c r="A258" s="1" t="s">
        <v>39</v>
      </c>
      <c r="B258" s="1" t="s">
        <v>1</v>
      </c>
      <c r="C258" s="3">
        <v>16.8</v>
      </c>
      <c r="D258" s="2">
        <v>10.719200000000001</v>
      </c>
      <c r="E258" s="2">
        <f>TabelaTianguá[[#This Row],[Qtde]]*TabelaTianguá[[#This Row],[Vl. Unitário]]</f>
        <v>180.08256000000003</v>
      </c>
      <c r="F258" s="7" t="str">
        <f>VLOOKUP(TabelaTianguá[[#This Row],[Código+Produto]],Base!A:C,3,0)</f>
        <v>maionese mp</v>
      </c>
      <c r="G258" s="8" t="str">
        <f>VLOOKUP(A258,Base!A:D,4,0)</f>
        <v>SECOS E MERCEARIA</v>
      </c>
    </row>
    <row r="259" spans="1:7" x14ac:dyDescent="0.25">
      <c r="A259" s="1" t="s">
        <v>1263</v>
      </c>
      <c r="B259" s="1" t="s">
        <v>1</v>
      </c>
      <c r="C259" s="3">
        <v>12.5</v>
      </c>
      <c r="D259" s="2">
        <v>8</v>
      </c>
      <c r="E259" s="2">
        <f>TabelaTianguá[[#This Row],[Qtde]]*TabelaTianguá[[#This Row],[Vl. Unitário]]</f>
        <v>100</v>
      </c>
      <c r="F259" s="40" t="str">
        <f>VLOOKUP(TabelaTianguá[[#This Row],[Código+Produto]],Base!A:C,3,0)</f>
        <v>molho de tomate mp</v>
      </c>
      <c r="G259" s="8" t="str">
        <f>VLOOKUP(A259,Base!A:D,4,0)</f>
        <v>SECOS E MERCEARIA</v>
      </c>
    </row>
    <row r="260" spans="1:7" x14ac:dyDescent="0.25">
      <c r="A260" s="1" t="s">
        <v>44</v>
      </c>
      <c r="B260" s="1" t="s">
        <v>10</v>
      </c>
      <c r="C260" s="3">
        <v>12</v>
      </c>
      <c r="D260" s="2">
        <v>1.46</v>
      </c>
      <c r="E260" s="2">
        <f>TabelaTianguá[[#This Row],[Qtde]]*TabelaTianguá[[#This Row],[Vl. Unitário]]</f>
        <v>17.52</v>
      </c>
      <c r="F260" s="7" t="str">
        <f>VLOOKUP(TabelaTianguá[[#This Row],[Código+Produto]],Base!A:C,3,0)</f>
        <v>vinagre mp</v>
      </c>
      <c r="G260" s="8" t="str">
        <f>VLOOKUP(A260,Base!A:D,4,0)</f>
        <v>SECOS E MERCEARIA</v>
      </c>
    </row>
    <row r="261" spans="1:7" x14ac:dyDescent="0.25">
      <c r="A261" s="1" t="s">
        <v>47</v>
      </c>
      <c r="B261" s="1" t="s">
        <v>1</v>
      </c>
      <c r="C261" s="3">
        <v>5.75</v>
      </c>
      <c r="D261" s="2">
        <v>23.151399999999999</v>
      </c>
      <c r="E261" s="2">
        <f>TabelaTianguá[[#This Row],[Qtde]]*TabelaTianguá[[#This Row],[Vl. Unitário]]</f>
        <v>133.12054999999998</v>
      </c>
      <c r="F261" s="7" t="str">
        <f>VLOOKUP(TabelaTianguá[[#This Row],[Código+Produto]],Base!A:C,3,0)</f>
        <v>bacon mp</v>
      </c>
      <c r="G261" s="8" t="str">
        <f>VLOOKUP(A261,Base!A:D,4,0)</f>
        <v>SUINOS E DERIVADOS</v>
      </c>
    </row>
    <row r="262" spans="1:7" x14ac:dyDescent="0.25">
      <c r="A262" s="1" t="s">
        <v>47</v>
      </c>
      <c r="B262" s="1" t="s">
        <v>1</v>
      </c>
      <c r="C262" s="3">
        <v>5.65</v>
      </c>
      <c r="D262" s="2">
        <v>23.151399999999999</v>
      </c>
      <c r="E262" s="2">
        <f>TabelaTianguá[[#This Row],[Qtde]]*TabelaTianguá[[#This Row],[Vl. Unitário]]</f>
        <v>130.80540999999999</v>
      </c>
      <c r="F262" s="7" t="str">
        <f>VLOOKUP(TabelaTianguá[[#This Row],[Código+Produto]],Base!A:C,3,0)</f>
        <v>bacon mp</v>
      </c>
      <c r="G262" s="8" t="str">
        <f>VLOOKUP(A262,Base!A:D,4,0)</f>
        <v>SUINOS E DERIVADOS</v>
      </c>
    </row>
    <row r="263" spans="1:7" x14ac:dyDescent="0.25">
      <c r="A263" s="1" t="s">
        <v>47</v>
      </c>
      <c r="B263" s="1" t="s">
        <v>1</v>
      </c>
      <c r="C263" s="3">
        <v>11.18</v>
      </c>
      <c r="D263" s="2">
        <v>24.191400000000002</v>
      </c>
      <c r="E263" s="2">
        <f>TabelaTianguá[[#This Row],[Qtde]]*TabelaTianguá[[#This Row],[Vl. Unitário]]</f>
        <v>270.45985200000001</v>
      </c>
      <c r="F263" s="7" t="str">
        <f>VLOOKUP(TabelaTianguá[[#This Row],[Código+Produto]],Base!A:C,3,0)</f>
        <v>bacon mp</v>
      </c>
      <c r="G263" s="8" t="str">
        <f>VLOOKUP(A263,Base!A:D,4,0)</f>
        <v>SUINOS E DERIVADOS</v>
      </c>
    </row>
    <row r="264" spans="1:7" x14ac:dyDescent="0.25">
      <c r="A264" s="1" t="s">
        <v>47</v>
      </c>
      <c r="B264" s="1" t="s">
        <v>1</v>
      </c>
      <c r="C264" s="3">
        <v>5.6</v>
      </c>
      <c r="D264" s="2">
        <v>24.191400000000002</v>
      </c>
      <c r="E264" s="2">
        <f>TabelaTianguá[[#This Row],[Qtde]]*TabelaTianguá[[#This Row],[Vl. Unitário]]</f>
        <v>135.47183999999999</v>
      </c>
      <c r="F264" s="7" t="str">
        <f>VLOOKUP(TabelaTianguá[[#This Row],[Código+Produto]],Base!A:C,3,0)</f>
        <v>bacon mp</v>
      </c>
      <c r="G264" s="8" t="str">
        <f>VLOOKUP(A264,Base!A:D,4,0)</f>
        <v>SUINOS E DERIVADOS</v>
      </c>
    </row>
    <row r="265" spans="1:7" x14ac:dyDescent="0.25">
      <c r="A265" s="1" t="s">
        <v>47</v>
      </c>
      <c r="B265" s="1" t="s">
        <v>1</v>
      </c>
      <c r="C265" s="3">
        <v>11.3</v>
      </c>
      <c r="D265" s="2">
        <v>24.0364</v>
      </c>
      <c r="E265" s="2">
        <f>TabelaTianguá[[#This Row],[Qtde]]*TabelaTianguá[[#This Row],[Vl. Unitário]]</f>
        <v>271.61132000000003</v>
      </c>
      <c r="F265" s="7" t="str">
        <f>VLOOKUP(TabelaTianguá[[#This Row],[Código+Produto]],Base!A:C,3,0)</f>
        <v>bacon mp</v>
      </c>
      <c r="G265" s="8" t="str">
        <f>VLOOKUP(A265,Base!A:D,4,0)</f>
        <v>SUINOS E DERIVADOS</v>
      </c>
    </row>
    <row r="266" spans="1:7" x14ac:dyDescent="0.25">
      <c r="A266" s="1" t="s">
        <v>47</v>
      </c>
      <c r="B266" s="1" t="s">
        <v>1</v>
      </c>
      <c r="C266" s="3">
        <v>5.35</v>
      </c>
      <c r="D266" s="2">
        <v>24.0364</v>
      </c>
      <c r="E266" s="2">
        <f>TabelaTianguá[[#This Row],[Qtde]]*TabelaTianguá[[#This Row],[Vl. Unitário]]</f>
        <v>128.59474</v>
      </c>
      <c r="F266" s="7" t="str">
        <f>VLOOKUP(TabelaTianguá[[#This Row],[Código+Produto]],Base!A:C,3,0)</f>
        <v>bacon mp</v>
      </c>
      <c r="G266" s="8" t="str">
        <f>VLOOKUP(A266,Base!A:D,4,0)</f>
        <v>SUINOS E DERIVADOS</v>
      </c>
    </row>
    <row r="267" spans="1:7" x14ac:dyDescent="0.25">
      <c r="A267" s="1" t="s">
        <v>47</v>
      </c>
      <c r="B267" s="1" t="s">
        <v>1</v>
      </c>
      <c r="C267" s="3">
        <v>4.9000000000000004</v>
      </c>
      <c r="D267" s="2">
        <v>22.97</v>
      </c>
      <c r="E267" s="2">
        <f>TabelaTianguá[[#This Row],[Qtde]]*TabelaTianguá[[#This Row],[Vl. Unitário]]</f>
        <v>112.553</v>
      </c>
      <c r="F267" s="40" t="str">
        <f>VLOOKUP(TabelaTianguá[[#This Row],[Código+Produto]],Base!A:C,3,0)</f>
        <v>bacon mp</v>
      </c>
      <c r="G267" s="8" t="str">
        <f>VLOOKUP(A267,Base!A:D,4,0)</f>
        <v>SUINOS E DERIVADOS</v>
      </c>
    </row>
    <row r="268" spans="1:7" x14ac:dyDescent="0.25">
      <c r="A268" s="1" t="s">
        <v>16</v>
      </c>
      <c r="B268" s="1" t="s">
        <v>1</v>
      </c>
      <c r="C268" s="3">
        <v>6.9</v>
      </c>
      <c r="D268" s="2">
        <v>16.5701</v>
      </c>
      <c r="E268" s="2">
        <f>TabelaTianguá[[#This Row],[Qtde]]*TabelaTianguá[[#This Row],[Vl. Unitário]]</f>
        <v>114.33369</v>
      </c>
      <c r="F268" s="7" t="str">
        <f>VLOOKUP(TabelaTianguá[[#This Row],[Código+Produto]],Base!A:C,3,0)</f>
        <v>carne suina mp</v>
      </c>
      <c r="G268" s="8" t="str">
        <f>VLOOKUP(A268,Base!A:D,4,0)</f>
        <v>SUINOS E DERIVADOS</v>
      </c>
    </row>
    <row r="269" spans="1:7" x14ac:dyDescent="0.25">
      <c r="A269" s="1" t="s">
        <v>16</v>
      </c>
      <c r="B269" s="1" t="s">
        <v>1</v>
      </c>
      <c r="C269" s="3">
        <v>7</v>
      </c>
      <c r="D269" s="2">
        <v>16.5701</v>
      </c>
      <c r="E269" s="2">
        <f>TabelaTianguá[[#This Row],[Qtde]]*TabelaTianguá[[#This Row],[Vl. Unitário]]</f>
        <v>115.9907</v>
      </c>
      <c r="F269" s="7" t="str">
        <f>VLOOKUP(TabelaTianguá[[#This Row],[Código+Produto]],Base!A:C,3,0)</f>
        <v>carne suina mp</v>
      </c>
      <c r="G269" s="8" t="str">
        <f>VLOOKUP(A269,Base!A:D,4,0)</f>
        <v>SUINOS E DERIVADOS</v>
      </c>
    </row>
    <row r="270" spans="1:7" x14ac:dyDescent="0.25">
      <c r="A270" s="1" t="s">
        <v>16</v>
      </c>
      <c r="B270" s="1" t="s">
        <v>1</v>
      </c>
      <c r="C270" s="3">
        <v>5.65</v>
      </c>
      <c r="D270" s="2">
        <v>16.5701</v>
      </c>
      <c r="E270" s="2">
        <f>TabelaTianguá[[#This Row],[Qtde]]*TabelaTianguá[[#This Row],[Vl. Unitário]]</f>
        <v>93.621065000000002</v>
      </c>
      <c r="F270" s="7" t="str">
        <f>VLOOKUP(TabelaTianguá[[#This Row],[Código+Produto]],Base!A:C,3,0)</f>
        <v>carne suina mp</v>
      </c>
      <c r="G270" s="8" t="str">
        <f>VLOOKUP(A270,Base!A:D,4,0)</f>
        <v>SUINOS E DERIVADOS</v>
      </c>
    </row>
    <row r="271" spans="1:7" x14ac:dyDescent="0.25">
      <c r="A271" s="1" t="s">
        <v>16</v>
      </c>
      <c r="B271" s="1" t="s">
        <v>1</v>
      </c>
      <c r="C271" s="3">
        <v>5.7</v>
      </c>
      <c r="D271" s="2">
        <v>16.5701</v>
      </c>
      <c r="E271" s="2">
        <f>TabelaTianguá[[#This Row],[Qtde]]*TabelaTianguá[[#This Row],[Vl. Unitário]]</f>
        <v>94.449570000000008</v>
      </c>
      <c r="F271" s="7" t="str">
        <f>VLOOKUP(TabelaTianguá[[#This Row],[Código+Produto]],Base!A:C,3,0)</f>
        <v>carne suina mp</v>
      </c>
      <c r="G271" s="8" t="str">
        <f>VLOOKUP(A271,Base!A:D,4,0)</f>
        <v>SUINOS E DERIVADOS</v>
      </c>
    </row>
    <row r="272" spans="1:7" x14ac:dyDescent="0.25">
      <c r="A272" s="1" t="s">
        <v>16</v>
      </c>
      <c r="B272" s="1" t="s">
        <v>1</v>
      </c>
      <c r="C272" s="3">
        <v>11.2</v>
      </c>
      <c r="D272" s="2">
        <v>16.5701</v>
      </c>
      <c r="E272" s="2">
        <f>TabelaTianguá[[#This Row],[Qtde]]*TabelaTianguá[[#This Row],[Vl. Unitário]]</f>
        <v>185.58511999999999</v>
      </c>
      <c r="F272" s="7" t="str">
        <f>VLOOKUP(TabelaTianguá[[#This Row],[Código+Produto]],Base!A:C,3,0)</f>
        <v>carne suina mp</v>
      </c>
      <c r="G272" s="8" t="str">
        <f>VLOOKUP(A272,Base!A:D,4,0)</f>
        <v>SUINOS E DERIVADOS</v>
      </c>
    </row>
    <row r="273" spans="1:7" x14ac:dyDescent="0.25">
      <c r="A273" s="1" t="s">
        <v>16</v>
      </c>
      <c r="B273" s="1" t="s">
        <v>1</v>
      </c>
      <c r="C273" s="3">
        <v>8.5500000000000007</v>
      </c>
      <c r="D273" s="2">
        <v>16.5701</v>
      </c>
      <c r="E273" s="2">
        <f>TabelaTianguá[[#This Row],[Qtde]]*TabelaTianguá[[#This Row],[Vl. Unitário]]</f>
        <v>141.67435500000002</v>
      </c>
      <c r="F273" s="7" t="str">
        <f>VLOOKUP(TabelaTianguá[[#This Row],[Código+Produto]],Base!A:C,3,0)</f>
        <v>carne suina mp</v>
      </c>
      <c r="G273" s="8" t="str">
        <f>VLOOKUP(A273,Base!A:D,4,0)</f>
        <v>SUINOS E DERIVADOS</v>
      </c>
    </row>
    <row r="274" spans="1:7" x14ac:dyDescent="0.25">
      <c r="A274" s="1" t="s">
        <v>16</v>
      </c>
      <c r="B274" s="1" t="s">
        <v>1</v>
      </c>
      <c r="C274" s="3">
        <v>9.3000000000000007</v>
      </c>
      <c r="D274" s="2">
        <v>16.5701</v>
      </c>
      <c r="E274" s="2">
        <f>TabelaTianguá[[#This Row],[Qtde]]*TabelaTianguá[[#This Row],[Vl. Unitário]]</f>
        <v>154.10193000000001</v>
      </c>
      <c r="F274" s="40" t="str">
        <f>VLOOKUP(TabelaTianguá[[#This Row],[Código+Produto]],Base!A:C,3,0)</f>
        <v>carne suina mp</v>
      </c>
      <c r="G274" s="8" t="str">
        <f>VLOOKUP(A274,Base!A:D,4,0)</f>
        <v>SUINOS E DERIVADOS</v>
      </c>
    </row>
    <row r="275" spans="1:7" x14ac:dyDescent="0.25">
      <c r="A275" s="1" t="s">
        <v>16</v>
      </c>
      <c r="B275" s="1" t="s">
        <v>1</v>
      </c>
      <c r="C275" s="3">
        <v>8.6</v>
      </c>
      <c r="D275" s="2">
        <v>16.5701</v>
      </c>
      <c r="E275" s="2">
        <f>TabelaTianguá[[#This Row],[Qtde]]*TabelaTianguá[[#This Row],[Vl. Unitário]]</f>
        <v>142.50286</v>
      </c>
      <c r="F275" s="40" t="str">
        <f>VLOOKUP(TabelaTianguá[[#This Row],[Código+Produto]],Base!A:C,3,0)</f>
        <v>carne suina mp</v>
      </c>
      <c r="G275" s="8" t="str">
        <f>VLOOKUP(A275,Base!A:D,4,0)</f>
        <v>SUINOS E DERIVADOS</v>
      </c>
    </row>
    <row r="276" spans="1:7" x14ac:dyDescent="0.25">
      <c r="A276" s="1" t="s">
        <v>17</v>
      </c>
      <c r="B276" s="1" t="s">
        <v>1</v>
      </c>
      <c r="C276" s="3">
        <v>5</v>
      </c>
      <c r="D276" s="2">
        <v>19.510000000000002</v>
      </c>
      <c r="E276" s="2">
        <f>TabelaTianguá[[#This Row],[Qtde]]*TabelaTianguá[[#This Row],[Vl. Unitário]]</f>
        <v>97.550000000000011</v>
      </c>
      <c r="F276" s="7" t="str">
        <f>VLOOKUP(TabelaTianguá[[#This Row],[Código+Produto]],Base!A:C,3,0)</f>
        <v>costela suina mp</v>
      </c>
      <c r="G276" s="8" t="str">
        <f>VLOOKUP(A276,Base!A:D,4,0)</f>
        <v>SUINOS E DERIVADOS</v>
      </c>
    </row>
    <row r="277" spans="1:7" x14ac:dyDescent="0.25">
      <c r="A277" s="1" t="s">
        <v>17</v>
      </c>
      <c r="B277" s="1" t="s">
        <v>1</v>
      </c>
      <c r="C277" s="3">
        <v>5</v>
      </c>
      <c r="D277" s="2">
        <v>19.510000000000002</v>
      </c>
      <c r="E277" s="2">
        <f>TabelaTianguá[[#This Row],[Qtde]]*TabelaTianguá[[#This Row],[Vl. Unitário]]</f>
        <v>97.550000000000011</v>
      </c>
      <c r="F277" s="7" t="str">
        <f>VLOOKUP(TabelaTianguá[[#This Row],[Código+Produto]],Base!A:C,3,0)</f>
        <v>costela suina mp</v>
      </c>
      <c r="G277" s="8" t="str">
        <f>VLOOKUP(A277,Base!A:D,4,0)</f>
        <v>SUINOS E DERIVADOS</v>
      </c>
    </row>
    <row r="278" spans="1:7" x14ac:dyDescent="0.25">
      <c r="A278" s="1" t="s">
        <v>17</v>
      </c>
      <c r="B278" s="1" t="s">
        <v>1</v>
      </c>
      <c r="C278" s="3">
        <v>2.7</v>
      </c>
      <c r="D278" s="2">
        <v>19.510000000000002</v>
      </c>
      <c r="E278" s="2">
        <f>TabelaTianguá[[#This Row],[Qtde]]*TabelaTianguá[[#This Row],[Vl. Unitário]]</f>
        <v>52.677000000000007</v>
      </c>
      <c r="F278" s="40" t="str">
        <f>VLOOKUP(TabelaTianguá[[#This Row],[Código+Produto]],Base!A:C,3,0)</f>
        <v>costela suina mp</v>
      </c>
      <c r="G278" s="8" t="str">
        <f>VLOOKUP(A278,Base!A:D,4,0)</f>
        <v>SUINOS E DERIVADOS</v>
      </c>
    </row>
    <row r="279" spans="1:7" x14ac:dyDescent="0.25">
      <c r="A279" s="1" t="s">
        <v>1217</v>
      </c>
      <c r="B279" s="1" t="s">
        <v>1239</v>
      </c>
      <c r="C279" s="3">
        <v>2</v>
      </c>
      <c r="D279" s="2">
        <v>17.25</v>
      </c>
      <c r="E279" s="2">
        <f>TabelaTianguá[[#This Row],[Qtde]]*TabelaTianguá[[#This Row],[Vl. Unitário]]</f>
        <v>34.5</v>
      </c>
      <c r="F279" s="40" t="str">
        <f>VLOOKUP(TabelaTianguá[[#This Row],[Código+Produto]],Base!A:C,3,0)</f>
        <v>azeite de oliva mp</v>
      </c>
      <c r="G279" s="8" t="str">
        <f>VLOOKUP(A279,Base!A:D,4,0)</f>
        <v>AZEITES</v>
      </c>
    </row>
    <row r="280" spans="1:7" x14ac:dyDescent="0.25">
      <c r="A280" s="1" t="s">
        <v>56</v>
      </c>
      <c r="B280" s="1" t="s">
        <v>57</v>
      </c>
      <c r="C280" s="3">
        <v>4</v>
      </c>
      <c r="D280" s="2">
        <v>11.163</v>
      </c>
      <c r="E280" s="2">
        <f>TabelaTianguá[[#This Row],[Qtde]]*TabelaTianguá[[#This Row],[Vl. Unitário]]</f>
        <v>44.652000000000001</v>
      </c>
      <c r="F280" s="7" t="str">
        <f>VLOOKUP(TabelaTianguá[[#This Row],[Código+Produto]],Base!A:C,3,0)</f>
        <v>cafe em po mp</v>
      </c>
      <c r="G280" s="8" t="str">
        <f>VLOOKUP(A280,Base!A:D,4,0)</f>
        <v>CAFES</v>
      </c>
    </row>
    <row r="281" spans="1:7" x14ac:dyDescent="0.25">
      <c r="A281" s="1" t="s">
        <v>1259</v>
      </c>
      <c r="B281" s="1" t="s">
        <v>1260</v>
      </c>
      <c r="C281" s="3">
        <v>2</v>
      </c>
      <c r="D281" s="2">
        <v>22.656199999999998</v>
      </c>
      <c r="E281" s="2">
        <f>TabelaTianguá[[#This Row],[Qtde]]*TabelaTianguá[[#This Row],[Vl. Unitário]]</f>
        <v>45.312399999999997</v>
      </c>
      <c r="F281" s="7" t="str">
        <f>VLOOKUP(TabelaTianguá[[#This Row],[Código+Produto]],Base!A:C,3,0)</f>
        <v>molho de pimenta tabasco mp</v>
      </c>
      <c r="G281" s="8" t="str">
        <f>VLOOKUP(A281,Base!A:D,4,0)</f>
        <v>MOLHOS</v>
      </c>
    </row>
    <row r="282" spans="1:7" x14ac:dyDescent="0.25">
      <c r="A282" s="1" t="s">
        <v>50</v>
      </c>
      <c r="B282" s="1" t="s">
        <v>51</v>
      </c>
      <c r="C282" s="3">
        <v>12</v>
      </c>
      <c r="D282" s="2">
        <v>7.49</v>
      </c>
      <c r="E282" s="2">
        <f>TabelaTianguá[[#This Row],[Qtde]]*TabelaTianguá[[#This Row],[Vl. Unitário]]</f>
        <v>89.88</v>
      </c>
      <c r="F282" s="7" t="str">
        <f>VLOOKUP(TabelaTianguá[[#This Row],[Código+Produto]],Base!A:C,3,0)</f>
        <v>oleo de soja</v>
      </c>
      <c r="G282" s="8" t="str">
        <f>VLOOKUP(A282,Base!A:D,4,0)</f>
        <v>OLEO DE SOJA</v>
      </c>
    </row>
    <row r="283" spans="1:7" x14ac:dyDescent="0.25">
      <c r="A283" s="1" t="s">
        <v>41</v>
      </c>
      <c r="B283" s="1" t="s">
        <v>1</v>
      </c>
      <c r="C283" s="3">
        <v>2</v>
      </c>
      <c r="D283" s="2">
        <v>25</v>
      </c>
      <c r="E283" s="2">
        <f>TabelaTianguá[[#This Row],[Qtde]]*TabelaTianguá[[#This Row],[Vl. Unitário]]</f>
        <v>50</v>
      </c>
      <c r="F283" s="7" t="str">
        <f>VLOOKUP(TabelaTianguá[[#This Row],[Código+Produto]],Base!A:C,3,0)</f>
        <v>prep polpa maracuja com sement</v>
      </c>
      <c r="G283" s="8" t="str">
        <f>VLOOKUP(A283,Base!A:D,4,0)</f>
        <v>PRE PREPARO BAR</v>
      </c>
    </row>
    <row r="284" spans="1:7" x14ac:dyDescent="0.25">
      <c r="A284" s="1" t="s">
        <v>41</v>
      </c>
      <c r="B284" s="1" t="s">
        <v>1</v>
      </c>
      <c r="C284" s="3">
        <v>4</v>
      </c>
      <c r="D284" s="2">
        <v>25</v>
      </c>
      <c r="E284" s="2">
        <f>TabelaTianguá[[#This Row],[Qtde]]*TabelaTianguá[[#This Row],[Vl. Unitário]]</f>
        <v>100</v>
      </c>
      <c r="F284" s="7" t="str">
        <f>VLOOKUP(TabelaTianguá[[#This Row],[Código+Produto]],Base!A:C,3,0)</f>
        <v>prep polpa maracuja com sement</v>
      </c>
      <c r="G284" s="8" t="str">
        <f>VLOOKUP(A284,Base!A:D,4,0)</f>
        <v>PRE PREPARO BAR</v>
      </c>
    </row>
    <row r="285" spans="1:7" x14ac:dyDescent="0.25">
      <c r="A285" s="1" t="s">
        <v>41</v>
      </c>
      <c r="B285" s="1" t="s">
        <v>1</v>
      </c>
      <c r="C285" s="3">
        <v>4</v>
      </c>
      <c r="D285" s="2">
        <v>25</v>
      </c>
      <c r="E285" s="2">
        <f>TabelaTianguá[[#This Row],[Qtde]]*TabelaTianguá[[#This Row],[Vl. Unitário]]</f>
        <v>100</v>
      </c>
      <c r="F285" s="7" t="str">
        <f>VLOOKUP(TabelaTianguá[[#This Row],[Código+Produto]],Base!A:C,3,0)</f>
        <v>prep polpa maracuja com sement</v>
      </c>
      <c r="G285" s="8" t="str">
        <f>VLOOKUP(A285,Base!A:D,4,0)</f>
        <v>PRE PREPARO BAR</v>
      </c>
    </row>
    <row r="286" spans="1:7" x14ac:dyDescent="0.25">
      <c r="A286" s="1" t="s">
        <v>41</v>
      </c>
      <c r="B286" s="1" t="s">
        <v>1</v>
      </c>
      <c r="C286" s="3">
        <v>4</v>
      </c>
      <c r="D286" s="2">
        <v>25</v>
      </c>
      <c r="E286" s="2">
        <f>TabelaTianguá[[#This Row],[Qtde]]*TabelaTianguá[[#This Row],[Vl. Unitário]]</f>
        <v>100</v>
      </c>
      <c r="F286" s="7" t="str">
        <f>VLOOKUP(TabelaTianguá[[#This Row],[Código+Produto]],Base!A:C,3,0)</f>
        <v>prep polpa maracuja com sement</v>
      </c>
      <c r="G286" s="8" t="str">
        <f>VLOOKUP(A286,Base!A:D,4,0)</f>
        <v>PRE PREPARO BAR</v>
      </c>
    </row>
    <row r="287" spans="1:7" x14ac:dyDescent="0.25">
      <c r="A287" s="1" t="s">
        <v>41</v>
      </c>
      <c r="B287" s="1" t="s">
        <v>1</v>
      </c>
      <c r="C287" s="3">
        <v>4</v>
      </c>
      <c r="D287" s="2">
        <v>25</v>
      </c>
      <c r="E287" s="2">
        <f>TabelaTianguá[[#This Row],[Qtde]]*TabelaTianguá[[#This Row],[Vl. Unitário]]</f>
        <v>100</v>
      </c>
      <c r="F287" s="7" t="str">
        <f>VLOOKUP(TabelaTianguá[[#This Row],[Código+Produto]],Base!A:C,3,0)</f>
        <v>prep polpa maracuja com sement</v>
      </c>
      <c r="G287" s="8" t="str">
        <f>VLOOKUP(A287,Base!A:D,4,0)</f>
        <v>PRE PREPARO BAR</v>
      </c>
    </row>
    <row r="288" spans="1:7" x14ac:dyDescent="0.25">
      <c r="A288" s="1" t="s">
        <v>41</v>
      </c>
      <c r="B288" s="1" t="s">
        <v>1</v>
      </c>
      <c r="C288" s="3">
        <v>4</v>
      </c>
      <c r="D288" s="2">
        <v>25</v>
      </c>
      <c r="E288" s="2">
        <f>TabelaTianguá[[#This Row],[Qtde]]*TabelaTianguá[[#This Row],[Vl. Unitário]]</f>
        <v>100</v>
      </c>
      <c r="F288" s="7" t="str">
        <f>VLOOKUP(TabelaTianguá[[#This Row],[Código+Produto]],Base!A:C,3,0)</f>
        <v>prep polpa maracuja com sement</v>
      </c>
      <c r="G288" s="8" t="str">
        <f>VLOOKUP(A288,Base!A:D,4,0)</f>
        <v>PRE PREPARO BAR</v>
      </c>
    </row>
    <row r="289" spans="1:7" x14ac:dyDescent="0.25">
      <c r="A289" s="1" t="s">
        <v>1218</v>
      </c>
      <c r="B289" s="1" t="s">
        <v>1</v>
      </c>
      <c r="C289" s="3">
        <v>1.6</v>
      </c>
      <c r="D289" s="2">
        <v>15</v>
      </c>
      <c r="E289" s="2">
        <f>TabelaTianguá[[#This Row],[Qtde]]*TabelaTianguá[[#This Row],[Vl. Unitário]]</f>
        <v>24</v>
      </c>
      <c r="F289" s="7" t="str">
        <f>VLOOKUP(TabelaTianguá[[#This Row],[Código+Produto]],Base!A:C,3,0)</f>
        <v>prep cordao file mignon moido</v>
      </c>
      <c r="G289" s="8" t="str">
        <f>VLOOKUP(A289,Base!A:D,4,0)</f>
        <v>PRE PREPARO COZINHA</v>
      </c>
    </row>
    <row r="290" spans="1:7" x14ac:dyDescent="0.25">
      <c r="A290" s="1" t="s">
        <v>40</v>
      </c>
      <c r="B290" s="1" t="s">
        <v>1</v>
      </c>
      <c r="C290" s="3">
        <v>1.8</v>
      </c>
      <c r="D290" s="2">
        <v>3.6606000000000001</v>
      </c>
      <c r="E290" s="2">
        <f>TabelaTianguá[[#This Row],[Qtde]]*TabelaTianguá[[#This Row],[Vl. Unitário]]</f>
        <v>6.58908</v>
      </c>
      <c r="F290" s="7" t="str">
        <f>VLOOKUP(TabelaTianguá[[#This Row],[Código+Produto]],Base!A:C,3,0)</f>
        <v>prep massa fettuccine</v>
      </c>
      <c r="G290" s="8" t="str">
        <f>VLOOKUP(A290,Base!A:D,4,0)</f>
        <v>PRE PREPARO COZINHA</v>
      </c>
    </row>
    <row r="291" spans="1:7" x14ac:dyDescent="0.25">
      <c r="A291" s="1" t="s">
        <v>40</v>
      </c>
      <c r="B291" s="1" t="s">
        <v>1</v>
      </c>
      <c r="C291" s="3">
        <v>5.4</v>
      </c>
      <c r="D291" s="2">
        <v>3.6265999999999998</v>
      </c>
      <c r="E291" s="2">
        <f>TabelaTianguá[[#This Row],[Qtde]]*TabelaTianguá[[#This Row],[Vl. Unitário]]</f>
        <v>19.583639999999999</v>
      </c>
      <c r="F291" s="7" t="str">
        <f>VLOOKUP(TabelaTianguá[[#This Row],[Código+Produto]],Base!A:C,3,0)</f>
        <v>prep massa fettuccine</v>
      </c>
      <c r="G291" s="8" t="str">
        <f>VLOOKUP(A291,Base!A:D,4,0)</f>
        <v>PRE PREPARO COZINHA</v>
      </c>
    </row>
    <row r="292" spans="1:7" x14ac:dyDescent="0.25">
      <c r="A292" s="1" t="s">
        <v>54</v>
      </c>
      <c r="B292" s="1" t="s">
        <v>1</v>
      </c>
      <c r="C292" s="3">
        <v>5</v>
      </c>
      <c r="D292" s="2">
        <v>3.6265999999999998</v>
      </c>
      <c r="E292" s="2">
        <f>TabelaTianguá[[#This Row],[Qtde]]*TabelaTianguá[[#This Row],[Vl. Unitário]]</f>
        <v>18.132999999999999</v>
      </c>
      <c r="F292" s="7" t="str">
        <f>VLOOKUP(TabelaTianguá[[#This Row],[Código+Produto]],Base!A:C,3,0)</f>
        <v>prep massa rondelli</v>
      </c>
      <c r="G292" s="8" t="str">
        <f>VLOOKUP(A292,Base!A:D,4,0)</f>
        <v>PRE PREPARO COZINHA</v>
      </c>
    </row>
    <row r="293" spans="1:7" x14ac:dyDescent="0.25">
      <c r="A293" s="1" t="s">
        <v>28</v>
      </c>
      <c r="B293" s="1" t="s">
        <v>6</v>
      </c>
      <c r="C293" s="3">
        <v>4</v>
      </c>
      <c r="D293" s="2">
        <v>6.4570999999999996</v>
      </c>
      <c r="E293" s="2">
        <f>TabelaTianguá[[#This Row],[Qtde]]*TabelaTianguá[[#This Row],[Vl. Unitário]]</f>
        <v>25.828399999999998</v>
      </c>
      <c r="F293" s="7" t="str">
        <f>VLOOKUP(TabelaTianguá[[#This Row],[Código+Produto]],Base!A:C,3,0)</f>
        <v>prep molho madeira</v>
      </c>
      <c r="G293" s="8" t="str">
        <f>VLOOKUP(A293,Base!A:D,4,0)</f>
        <v>PRE PREPARO COZINHA</v>
      </c>
    </row>
    <row r="294" spans="1:7" x14ac:dyDescent="0.25">
      <c r="A294" s="1" t="s">
        <v>28</v>
      </c>
      <c r="B294" s="1" t="s">
        <v>6</v>
      </c>
      <c r="C294" s="3">
        <v>6</v>
      </c>
      <c r="D294" s="2">
        <v>6.4602000000000004</v>
      </c>
      <c r="E294" s="2">
        <f>TabelaTianguá[[#This Row],[Qtde]]*TabelaTianguá[[#This Row],[Vl. Unitário]]</f>
        <v>38.761200000000002</v>
      </c>
      <c r="F294" s="7" t="str">
        <f>VLOOKUP(TabelaTianguá[[#This Row],[Código+Produto]],Base!A:C,3,0)</f>
        <v>prep molho madeira</v>
      </c>
      <c r="G294" s="8" t="str">
        <f>VLOOKUP(A294,Base!A:D,4,0)</f>
        <v>PRE PREPARO COZINHA</v>
      </c>
    </row>
    <row r="295" spans="1:7" x14ac:dyDescent="0.25">
      <c r="A295" s="1" t="s">
        <v>28</v>
      </c>
      <c r="B295" s="1" t="s">
        <v>6</v>
      </c>
      <c r="C295" s="3">
        <v>7.5</v>
      </c>
      <c r="D295" s="2">
        <v>6.4602000000000004</v>
      </c>
      <c r="E295" s="2">
        <f>TabelaTianguá[[#This Row],[Qtde]]*TabelaTianguá[[#This Row],[Vl. Unitário]]</f>
        <v>48.451500000000003</v>
      </c>
      <c r="F295" s="7" t="str">
        <f>VLOOKUP(TabelaTianguá[[#This Row],[Código+Produto]],Base!A:C,3,0)</f>
        <v>prep molho madeira</v>
      </c>
      <c r="G295" s="8" t="str">
        <f>VLOOKUP(A295,Base!A:D,4,0)</f>
        <v>PRE PREPARO COZINHA</v>
      </c>
    </row>
    <row r="296" spans="1:7" x14ac:dyDescent="0.25">
      <c r="A296" s="1" t="s">
        <v>28</v>
      </c>
      <c r="B296" s="1" t="s">
        <v>6</v>
      </c>
      <c r="C296" s="3">
        <v>7</v>
      </c>
      <c r="D296" s="2">
        <v>6.4602000000000004</v>
      </c>
      <c r="E296" s="2">
        <f>TabelaTianguá[[#This Row],[Qtde]]*TabelaTianguá[[#This Row],[Vl. Unitário]]</f>
        <v>45.221400000000003</v>
      </c>
      <c r="F296" s="7" t="str">
        <f>VLOOKUP(TabelaTianguá[[#This Row],[Código+Produto]],Base!A:C,3,0)</f>
        <v>prep molho madeira</v>
      </c>
      <c r="G296" s="8" t="str">
        <f>VLOOKUP(A296,Base!A:D,4,0)</f>
        <v>PRE PREPARO COZINHA</v>
      </c>
    </row>
    <row r="297" spans="1:7" x14ac:dyDescent="0.25">
      <c r="A297" s="1" t="s">
        <v>28</v>
      </c>
      <c r="B297" s="1" t="s">
        <v>6</v>
      </c>
      <c r="C297" s="3">
        <v>4.5</v>
      </c>
      <c r="D297" s="2">
        <v>6.4602000000000004</v>
      </c>
      <c r="E297" s="2">
        <f>TabelaTianguá[[#This Row],[Qtde]]*TabelaTianguá[[#This Row],[Vl. Unitário]]</f>
        <v>29.070900000000002</v>
      </c>
      <c r="F297" s="7" t="str">
        <f>VLOOKUP(TabelaTianguá[[#This Row],[Código+Produto]],Base!A:C,3,0)</f>
        <v>prep molho madeira</v>
      </c>
      <c r="G297" s="8" t="str">
        <f>VLOOKUP(A297,Base!A:D,4,0)</f>
        <v>PRE PREPARO COZINHA</v>
      </c>
    </row>
    <row r="298" spans="1:7" x14ac:dyDescent="0.25">
      <c r="A298" s="1" t="s">
        <v>1197</v>
      </c>
      <c r="B298" s="1" t="s">
        <v>6</v>
      </c>
      <c r="C298" s="3">
        <v>6</v>
      </c>
      <c r="D298" s="2">
        <v>6.7930000000000001</v>
      </c>
      <c r="E298" s="2">
        <f>TabelaTianguá[[#This Row],[Qtde]]*TabelaTianguá[[#This Row],[Vl. Unitário]]</f>
        <v>40.758000000000003</v>
      </c>
      <c r="F298" s="7" t="str">
        <f>VLOOKUP(TabelaTianguá[[#This Row],[Código+Produto]],Base!A:C,3,0)</f>
        <v>prep molho vermelho</v>
      </c>
      <c r="G298" s="8" t="str">
        <f>VLOOKUP(A298,Base!A:D,4,0)</f>
        <v>PRE PREPARO COZINHA</v>
      </c>
    </row>
    <row r="299" spans="1:7" x14ac:dyDescent="0.25">
      <c r="A299" s="1" t="s">
        <v>1197</v>
      </c>
      <c r="B299" s="1" t="s">
        <v>6</v>
      </c>
      <c r="C299" s="3">
        <v>6</v>
      </c>
      <c r="D299" s="2">
        <v>6.7930000000000001</v>
      </c>
      <c r="E299" s="2">
        <f>TabelaTianguá[[#This Row],[Qtde]]*TabelaTianguá[[#This Row],[Vl. Unitário]]</f>
        <v>40.758000000000003</v>
      </c>
      <c r="F299" s="7" t="str">
        <f>VLOOKUP(TabelaTianguá[[#This Row],[Código+Produto]],Base!A:C,3,0)</f>
        <v>prep molho vermelho</v>
      </c>
      <c r="G299" s="8" t="str">
        <f>VLOOKUP(A299,Base!A:D,4,0)</f>
        <v>PRE PREPARO COZINHA</v>
      </c>
    </row>
    <row r="300" spans="1:7" x14ac:dyDescent="0.25">
      <c r="A300" s="1" t="s">
        <v>1197</v>
      </c>
      <c r="B300" s="1" t="s">
        <v>6</v>
      </c>
      <c r="C300" s="3">
        <v>9</v>
      </c>
      <c r="D300" s="2">
        <v>6.7931999999999997</v>
      </c>
      <c r="E300" s="2">
        <f>TabelaTianguá[[#This Row],[Qtde]]*TabelaTianguá[[#This Row],[Vl. Unitário]]</f>
        <v>61.138799999999996</v>
      </c>
      <c r="F300" s="7" t="str">
        <f>VLOOKUP(TabelaTianguá[[#This Row],[Código+Produto]],Base!A:C,3,0)</f>
        <v>prep molho vermelho</v>
      </c>
      <c r="G300" s="8" t="str">
        <f>VLOOKUP(A300,Base!A:D,4,0)</f>
        <v>PRE PREPARO COZINHA</v>
      </c>
    </row>
    <row r="301" spans="1:7" x14ac:dyDescent="0.25">
      <c r="A301" s="1" t="s">
        <v>1197</v>
      </c>
      <c r="B301" s="1" t="s">
        <v>6</v>
      </c>
      <c r="C301" s="3">
        <v>2</v>
      </c>
      <c r="D301" s="2">
        <v>6.7931999999999997</v>
      </c>
      <c r="E301" s="2">
        <f>TabelaTianguá[[#This Row],[Qtde]]*TabelaTianguá[[#This Row],[Vl. Unitário]]</f>
        <v>13.586399999999999</v>
      </c>
      <c r="F301" s="7" t="str">
        <f>VLOOKUP(TabelaTianguá[[#This Row],[Código+Produto]],Base!A:C,3,0)</f>
        <v>prep molho vermelho</v>
      </c>
      <c r="G301" s="8" t="str">
        <f>VLOOKUP(A301,Base!A:D,4,0)</f>
        <v>PRE PREPARO COZINHA</v>
      </c>
    </row>
    <row r="302" spans="1:7" x14ac:dyDescent="0.25">
      <c r="A302" s="1" t="s">
        <v>1197</v>
      </c>
      <c r="B302" s="1" t="s">
        <v>6</v>
      </c>
      <c r="C302" s="3">
        <v>12</v>
      </c>
      <c r="D302" s="2">
        <v>6.7931999999999997</v>
      </c>
      <c r="E302" s="2">
        <f>TabelaTianguá[[#This Row],[Qtde]]*TabelaTianguá[[#This Row],[Vl. Unitário]]</f>
        <v>81.5184</v>
      </c>
      <c r="F302" s="7" t="str">
        <f>VLOOKUP(TabelaTianguá[[#This Row],[Código+Produto]],Base!A:C,3,0)</f>
        <v>prep molho vermelho</v>
      </c>
      <c r="G302" s="8" t="str">
        <f>VLOOKUP(A302,Base!A:D,4,0)</f>
        <v>PRE PREPARO COZINHA</v>
      </c>
    </row>
    <row r="303" spans="1:7" x14ac:dyDescent="0.25">
      <c r="A303" s="1" t="s">
        <v>1197</v>
      </c>
      <c r="B303" s="1" t="s">
        <v>6</v>
      </c>
      <c r="C303" s="3">
        <v>6</v>
      </c>
      <c r="D303" s="2">
        <v>6.7931999999999997</v>
      </c>
      <c r="E303" s="2">
        <f>TabelaTianguá[[#This Row],[Qtde]]*TabelaTianguá[[#This Row],[Vl. Unitário]]</f>
        <v>40.7592</v>
      </c>
      <c r="F303" s="7" t="str">
        <f>VLOOKUP(TabelaTianguá[[#This Row],[Código+Produto]],Base!A:C,3,0)</f>
        <v>prep molho vermelho</v>
      </c>
      <c r="G303" s="8" t="str">
        <f>VLOOKUP(A303,Base!A:D,4,0)</f>
        <v>PRE PREPARO COZINHA</v>
      </c>
    </row>
    <row r="304" spans="1:7" x14ac:dyDescent="0.25">
      <c r="A304" s="1" t="s">
        <v>1197</v>
      </c>
      <c r="B304" s="1" t="s">
        <v>6</v>
      </c>
      <c r="C304" s="3">
        <v>4</v>
      </c>
      <c r="D304" s="2">
        <v>6.7931999999999997</v>
      </c>
      <c r="E304" s="2">
        <f>TabelaTianguá[[#This Row],[Qtde]]*TabelaTianguá[[#This Row],[Vl. Unitário]]</f>
        <v>27.172799999999999</v>
      </c>
      <c r="F304" s="7" t="str">
        <f>VLOOKUP(TabelaTianguá[[#This Row],[Código+Produto]],Base!A:C,3,0)</f>
        <v>prep molho vermelho</v>
      </c>
      <c r="G304" s="8" t="str">
        <f>VLOOKUP(A304,Base!A:D,4,0)</f>
        <v>PRE PREPARO COZINHA</v>
      </c>
    </row>
    <row r="305" spans="1:7" x14ac:dyDescent="0.25">
      <c r="A305" s="1" t="s">
        <v>1197</v>
      </c>
      <c r="B305" s="1" t="s">
        <v>6</v>
      </c>
      <c r="C305" s="3">
        <v>6</v>
      </c>
      <c r="D305" s="2">
        <v>6.7931999999999997</v>
      </c>
      <c r="E305" s="2">
        <f>TabelaTianguá[[#This Row],[Qtde]]*TabelaTianguá[[#This Row],[Vl. Unitário]]</f>
        <v>40.7592</v>
      </c>
      <c r="F305" s="7" t="str">
        <f>VLOOKUP(TabelaTianguá[[#This Row],[Código+Produto]],Base!A:C,3,0)</f>
        <v>prep molho vermelho</v>
      </c>
      <c r="G305" s="8" t="str">
        <f>VLOOKUP(A305,Base!A:D,4,0)</f>
        <v>PRE PREPARO COZINHA</v>
      </c>
    </row>
    <row r="306" spans="1:7" x14ac:dyDescent="0.25">
      <c r="A306" s="1" t="s">
        <v>1197</v>
      </c>
      <c r="B306" s="1" t="s">
        <v>6</v>
      </c>
      <c r="C306" s="3">
        <v>7.5</v>
      </c>
      <c r="D306" s="2">
        <v>6.7931999999999997</v>
      </c>
      <c r="E306" s="2">
        <f>TabelaTianguá[[#This Row],[Qtde]]*TabelaTianguá[[#This Row],[Vl. Unitário]]</f>
        <v>50.948999999999998</v>
      </c>
      <c r="F306" s="7" t="str">
        <f>VLOOKUP(TabelaTianguá[[#This Row],[Código+Produto]],Base!A:C,3,0)</f>
        <v>prep molho vermelho</v>
      </c>
      <c r="G306" s="8" t="str">
        <f>VLOOKUP(A306,Base!A:D,4,0)</f>
        <v>PRE PREPARO COZINHA</v>
      </c>
    </row>
    <row r="307" spans="1:7" x14ac:dyDescent="0.25">
      <c r="A307" s="1" t="s">
        <v>1197</v>
      </c>
      <c r="B307" s="1" t="s">
        <v>6</v>
      </c>
      <c r="C307" s="3">
        <v>4.5</v>
      </c>
      <c r="D307" s="2">
        <v>6.7931999999999997</v>
      </c>
      <c r="E307" s="2">
        <f>TabelaTianguá[[#This Row],[Qtde]]*TabelaTianguá[[#This Row],[Vl. Unitário]]</f>
        <v>30.569399999999998</v>
      </c>
      <c r="F307" s="7" t="str">
        <f>VLOOKUP(TabelaTianguá[[#This Row],[Código+Produto]],Base!A:C,3,0)</f>
        <v>prep molho vermelho</v>
      </c>
      <c r="G307" s="8" t="str">
        <f>VLOOKUP(A307,Base!A:D,4,0)</f>
        <v>PRE PREPARO COZINHA</v>
      </c>
    </row>
    <row r="308" spans="1:7" x14ac:dyDescent="0.25">
      <c r="A308" s="1" t="s">
        <v>1197</v>
      </c>
      <c r="B308" s="1" t="s">
        <v>6</v>
      </c>
      <c r="C308" s="3">
        <v>6</v>
      </c>
      <c r="D308" s="2">
        <v>6.7931999999999997</v>
      </c>
      <c r="E308" s="2">
        <f>TabelaTianguá[[#This Row],[Qtde]]*TabelaTianguá[[#This Row],[Vl. Unitário]]</f>
        <v>40.7592</v>
      </c>
      <c r="F308" s="7" t="str">
        <f>VLOOKUP(TabelaTianguá[[#This Row],[Código+Produto]],Base!A:C,3,0)</f>
        <v>prep molho vermelho</v>
      </c>
      <c r="G308" s="8" t="str">
        <f>VLOOKUP(A308,Base!A:D,4,0)</f>
        <v>PRE PREPARO COZINHA</v>
      </c>
    </row>
    <row r="309" spans="1:7" x14ac:dyDescent="0.25">
      <c r="A309" s="1" t="s">
        <v>1197</v>
      </c>
      <c r="B309" s="1" t="s">
        <v>6</v>
      </c>
      <c r="C309" s="3">
        <v>6</v>
      </c>
      <c r="D309" s="2">
        <v>3.5</v>
      </c>
      <c r="E309" s="2">
        <f>TabelaTianguá[[#This Row],[Qtde]]*TabelaTianguá[[#This Row],[Vl. Unitário]]</f>
        <v>21</v>
      </c>
      <c r="F309" s="7" t="str">
        <f>VLOOKUP(TabelaTianguá[[#This Row],[Código+Produto]],Base!A:C,3,0)</f>
        <v>prep molho vermelho</v>
      </c>
      <c r="G309" s="8" t="str">
        <f>VLOOKUP(A309,Base!A:D,4,0)</f>
        <v>PRE PREPARO COZINHA</v>
      </c>
    </row>
    <row r="310" spans="1:7" x14ac:dyDescent="0.25">
      <c r="A310" s="1" t="s">
        <v>1197</v>
      </c>
      <c r="B310" s="1" t="s">
        <v>6</v>
      </c>
      <c r="C310" s="3">
        <v>12</v>
      </c>
      <c r="D310" s="2">
        <v>6.7931999999999997</v>
      </c>
      <c r="E310" s="2">
        <f>TabelaTianguá[[#This Row],[Qtde]]*TabelaTianguá[[#This Row],[Vl. Unitário]]</f>
        <v>81.5184</v>
      </c>
      <c r="F310" s="7" t="str">
        <f>VLOOKUP(TabelaTianguá[[#This Row],[Código+Produto]],Base!A:C,3,0)</f>
        <v>prep molho vermelho</v>
      </c>
      <c r="G310" s="8" t="str">
        <f>VLOOKUP(A310,Base!A:D,4,0)</f>
        <v>PRE PREPARO COZINHA</v>
      </c>
    </row>
    <row r="311" spans="1:7" x14ac:dyDescent="0.25">
      <c r="A311" s="1" t="s">
        <v>1197</v>
      </c>
      <c r="B311" s="1" t="s">
        <v>6</v>
      </c>
      <c r="C311" s="3">
        <v>10</v>
      </c>
      <c r="D311" s="2">
        <v>6.7931999999999997</v>
      </c>
      <c r="E311" s="2">
        <f>TabelaTianguá[[#This Row],[Qtde]]*TabelaTianguá[[#This Row],[Vl. Unitário]]</f>
        <v>67.932000000000002</v>
      </c>
      <c r="F311" s="40" t="str">
        <f>VLOOKUP(TabelaTianguá[[#This Row],[Código+Produto]],Base!A:C,3,0)</f>
        <v>prep molho vermelho</v>
      </c>
      <c r="G311" s="8" t="str">
        <f>VLOOKUP(A311,Base!A:D,4,0)</f>
        <v>PRE PREPARO COZINHA</v>
      </c>
    </row>
    <row r="312" spans="1:7" x14ac:dyDescent="0.25">
      <c r="A312" s="1" t="s">
        <v>1206</v>
      </c>
      <c r="B312" s="1" t="s">
        <v>6</v>
      </c>
      <c r="C312" s="3">
        <v>2</v>
      </c>
      <c r="D312" s="2">
        <v>5</v>
      </c>
      <c r="E312" s="2">
        <f>TabelaTianguá[[#This Row],[Qtde]]*TabelaTianguá[[#This Row],[Vl. Unitário]]</f>
        <v>10</v>
      </c>
      <c r="F312" s="7" t="str">
        <f>VLOOKUP(TabelaTianguá[[#This Row],[Código+Produto]],Base!A:C,3,0)</f>
        <v>prep oleo de porco</v>
      </c>
      <c r="G312" s="8" t="str">
        <f>VLOOKUP(A312,Base!A:D,4,0)</f>
        <v>PRE PREPARO COZINHA</v>
      </c>
    </row>
    <row r="313" spans="1:7" x14ac:dyDescent="0.25">
      <c r="A313" s="1" t="s">
        <v>1206</v>
      </c>
      <c r="B313" s="1" t="s">
        <v>6</v>
      </c>
      <c r="C313" s="3">
        <v>5.5</v>
      </c>
      <c r="D313" s="2">
        <v>6</v>
      </c>
      <c r="E313" s="2">
        <f>TabelaTianguá[[#This Row],[Qtde]]*TabelaTianguá[[#This Row],[Vl. Unitário]]</f>
        <v>33</v>
      </c>
      <c r="F313" s="40" t="str">
        <f>VLOOKUP(TabelaTianguá[[#This Row],[Código+Produto]],Base!A:C,3,0)</f>
        <v>prep oleo de porco</v>
      </c>
      <c r="G313" s="8" t="str">
        <f>VLOOKUP(A313,Base!A:D,4,0)</f>
        <v>PRE PREPARO COZINHA</v>
      </c>
    </row>
    <row r="314" spans="1:7" x14ac:dyDescent="0.25">
      <c r="A314" s="1" t="s">
        <v>8</v>
      </c>
      <c r="B314" s="1" t="s">
        <v>1</v>
      </c>
      <c r="C314" s="3">
        <v>15</v>
      </c>
      <c r="D314" s="2">
        <v>17</v>
      </c>
      <c r="E314" s="2">
        <f>TabelaTianguá[[#This Row],[Qtde]]*TabelaTianguá[[#This Row],[Vl. Unitário]]</f>
        <v>255</v>
      </c>
      <c r="F314" s="7" t="str">
        <f>VLOOKUP(TabelaTianguá[[#This Row],[Código+Produto]],Base!A:C,3,0)</f>
        <v>tilapia limpa mp</v>
      </c>
      <c r="G314" s="8" t="str">
        <f>VLOOKUP(A314,Base!A:D,4,0)</f>
        <v>PEIXES E FRUTOS DO MAR</v>
      </c>
    </row>
    <row r="315" spans="1:7" x14ac:dyDescent="0.25">
      <c r="A315" s="1" t="s">
        <v>8</v>
      </c>
      <c r="B315" s="1" t="s">
        <v>1</v>
      </c>
      <c r="C315" s="3">
        <v>9.85</v>
      </c>
      <c r="D315" s="2">
        <v>17</v>
      </c>
      <c r="E315" s="2">
        <f>TabelaTianguá[[#This Row],[Qtde]]*TabelaTianguá[[#This Row],[Vl. Unitário]]</f>
        <v>167.45</v>
      </c>
      <c r="F315" s="7" t="str">
        <f>VLOOKUP(TabelaTianguá[[#This Row],[Código+Produto]],Base!A:C,3,0)</f>
        <v>tilapia limpa mp</v>
      </c>
      <c r="G315" s="8" t="str">
        <f>VLOOKUP(A315,Base!A:D,4,0)</f>
        <v>PEIXES E FRUTOS DO MAR</v>
      </c>
    </row>
    <row r="316" spans="1:7" x14ac:dyDescent="0.25">
      <c r="A316" s="1" t="s">
        <v>8</v>
      </c>
      <c r="B316" s="1" t="s">
        <v>1</v>
      </c>
      <c r="C316" s="3">
        <v>5.3</v>
      </c>
      <c r="D316" s="2">
        <v>17</v>
      </c>
      <c r="E316" s="2">
        <f>TabelaTianguá[[#This Row],[Qtde]]*TabelaTianguá[[#This Row],[Vl. Unitário]]</f>
        <v>90.1</v>
      </c>
      <c r="F316" s="7" t="str">
        <f>VLOOKUP(TabelaTianguá[[#This Row],[Código+Produto]],Base!A:C,3,0)</f>
        <v>tilapia limpa mp</v>
      </c>
      <c r="G316" s="8" t="str">
        <f>VLOOKUP(A316,Base!A:D,4,0)</f>
        <v>PEIXES E FRUTOS DO MAR</v>
      </c>
    </row>
    <row r="317" spans="1:7" x14ac:dyDescent="0.25">
      <c r="A317" s="1" t="s">
        <v>8</v>
      </c>
      <c r="B317" s="1" t="s">
        <v>1</v>
      </c>
      <c r="C317" s="3">
        <v>5</v>
      </c>
      <c r="D317" s="2">
        <v>17</v>
      </c>
      <c r="E317" s="2">
        <f>TabelaTianguá[[#This Row],[Qtde]]*TabelaTianguá[[#This Row],[Vl. Unitário]]</f>
        <v>85</v>
      </c>
      <c r="F317" s="7" t="str">
        <f>VLOOKUP(TabelaTianguá[[#This Row],[Código+Produto]],Base!A:C,3,0)</f>
        <v>tilapia limpa mp</v>
      </c>
      <c r="G317" s="8" t="str">
        <f>VLOOKUP(A317,Base!A:D,4,0)</f>
        <v>PEIXES E FRUTOS DO MAR</v>
      </c>
    </row>
    <row r="318" spans="1:7" x14ac:dyDescent="0.25">
      <c r="A318" s="1" t="s">
        <v>8</v>
      </c>
      <c r="B318" s="1" t="s">
        <v>1</v>
      </c>
      <c r="C318" s="3">
        <v>8</v>
      </c>
      <c r="D318" s="2">
        <v>17</v>
      </c>
      <c r="E318" s="2">
        <f>TabelaTianguá[[#This Row],[Qtde]]*TabelaTianguá[[#This Row],[Vl. Unitário]]</f>
        <v>136</v>
      </c>
      <c r="F318" s="7" t="str">
        <f>VLOOKUP(TabelaTianguá[[#This Row],[Código+Produto]],Base!A:C,3,0)</f>
        <v>tilapia limpa mp</v>
      </c>
      <c r="G318" s="8" t="str">
        <f>VLOOKUP(A318,Base!A:D,4,0)</f>
        <v>PEIXES E FRUTOS DO MAR</v>
      </c>
    </row>
    <row r="319" spans="1:7" x14ac:dyDescent="0.25">
      <c r="A319" s="1" t="s">
        <v>8</v>
      </c>
      <c r="B319" s="1" t="s">
        <v>1</v>
      </c>
      <c r="C319" s="3">
        <v>5.0999999999999996</v>
      </c>
      <c r="D319" s="2">
        <v>17</v>
      </c>
      <c r="E319" s="2">
        <f>TabelaTianguá[[#This Row],[Qtde]]*TabelaTianguá[[#This Row],[Vl. Unitário]]</f>
        <v>86.699999999999989</v>
      </c>
      <c r="F319" s="7" t="str">
        <f>VLOOKUP(TabelaTianguá[[#This Row],[Código+Produto]],Base!A:C,3,0)</f>
        <v>tilapia limpa mp</v>
      </c>
      <c r="G319" s="8" t="str">
        <f>VLOOKUP(A319,Base!A:D,4,0)</f>
        <v>PEIXES E FRUTOS DO MAR</v>
      </c>
    </row>
    <row r="320" spans="1:7" x14ac:dyDescent="0.25">
      <c r="A320" s="1" t="s">
        <v>8</v>
      </c>
      <c r="B320" s="1" t="s">
        <v>1</v>
      </c>
      <c r="C320" s="3">
        <v>6</v>
      </c>
      <c r="D320" s="2">
        <v>17</v>
      </c>
      <c r="E320" s="2">
        <f>TabelaTianguá[[#This Row],[Qtde]]*TabelaTianguá[[#This Row],[Vl. Unitário]]</f>
        <v>102</v>
      </c>
      <c r="F320" s="7" t="str">
        <f>VLOOKUP(TabelaTianguá[[#This Row],[Código+Produto]],Base!A:C,3,0)</f>
        <v>tilapia limpa mp</v>
      </c>
      <c r="G320" s="8" t="str">
        <f>VLOOKUP(A320,Base!A:D,4,0)</f>
        <v>PEIXES E FRUTOS DO MAR</v>
      </c>
    </row>
    <row r="321" spans="1:7" x14ac:dyDescent="0.25">
      <c r="A321" s="1" t="s">
        <v>8</v>
      </c>
      <c r="B321" s="1" t="s">
        <v>1</v>
      </c>
      <c r="C321" s="3">
        <v>16.3</v>
      </c>
      <c r="D321" s="2">
        <v>17</v>
      </c>
      <c r="E321" s="2">
        <f>TabelaTianguá[[#This Row],[Qtde]]*TabelaTianguá[[#This Row],[Vl. Unitário]]</f>
        <v>277.10000000000002</v>
      </c>
      <c r="F321" s="7" t="str">
        <f>VLOOKUP(TabelaTianguá[[#This Row],[Código+Produto]],Base!A:C,3,0)</f>
        <v>tilapia limpa mp</v>
      </c>
      <c r="G321" s="8" t="str">
        <f>VLOOKUP(A321,Base!A:D,4,0)</f>
        <v>PEIXES E FRUTOS DO MAR</v>
      </c>
    </row>
    <row r="322" spans="1:7" x14ac:dyDescent="0.25">
      <c r="A322" s="1" t="s">
        <v>8</v>
      </c>
      <c r="B322" s="1" t="s">
        <v>1</v>
      </c>
      <c r="C322" s="3">
        <v>8.1999999999999993</v>
      </c>
      <c r="D322" s="2">
        <v>17</v>
      </c>
      <c r="E322" s="2">
        <f>TabelaTianguá[[#This Row],[Qtde]]*TabelaTianguá[[#This Row],[Vl. Unitário]]</f>
        <v>139.39999999999998</v>
      </c>
      <c r="F322" s="7" t="str">
        <f>VLOOKUP(TabelaTianguá[[#This Row],[Código+Produto]],Base!A:C,3,0)</f>
        <v>tilapia limpa mp</v>
      </c>
      <c r="G322" s="8" t="str">
        <f>VLOOKUP(A322,Base!A:D,4,0)</f>
        <v>PEIXES E FRUTOS DO MAR</v>
      </c>
    </row>
    <row r="323" spans="1:7" x14ac:dyDescent="0.25">
      <c r="A323" s="1" t="s">
        <v>8</v>
      </c>
      <c r="B323" s="1" t="s">
        <v>1</v>
      </c>
      <c r="C323" s="3">
        <v>5.0999999999999996</v>
      </c>
      <c r="D323" s="2">
        <v>17</v>
      </c>
      <c r="E323" s="2">
        <f>TabelaTianguá[[#This Row],[Qtde]]*TabelaTianguá[[#This Row],[Vl. Unitário]]</f>
        <v>86.699999999999989</v>
      </c>
      <c r="F323" s="7" t="str">
        <f>VLOOKUP(TabelaTianguá[[#This Row],[Código+Produto]],Base!A:C,3,0)</f>
        <v>tilapia limpa mp</v>
      </c>
      <c r="G323" s="8" t="str">
        <f>VLOOKUP(A323,Base!A:D,4,0)</f>
        <v>PEIXES E FRUTOS DO MAR</v>
      </c>
    </row>
    <row r="324" spans="1:7" x14ac:dyDescent="0.25">
      <c r="A324" s="1" t="s">
        <v>8</v>
      </c>
      <c r="B324" s="1" t="s">
        <v>1</v>
      </c>
      <c r="C324" s="3">
        <v>6.67</v>
      </c>
      <c r="D324" s="2">
        <v>17</v>
      </c>
      <c r="E324" s="2">
        <f>TabelaTianguá[[#This Row],[Qtde]]*TabelaTianguá[[#This Row],[Vl. Unitário]]</f>
        <v>113.39</v>
      </c>
      <c r="F324" s="40" t="str">
        <f>VLOOKUP(TabelaTianguá[[#This Row],[Código+Produto]],Base!A:C,3,0)</f>
        <v>tilapia limpa mp</v>
      </c>
      <c r="G324" s="8" t="str">
        <f>VLOOKUP(A324,Base!A:D,4,0)</f>
        <v>PEIXES E FRUTOS DO MAR</v>
      </c>
    </row>
    <row r="325" spans="1:7" x14ac:dyDescent="0.25">
      <c r="A325" s="1" t="s">
        <v>8</v>
      </c>
      <c r="B325" s="1" t="s">
        <v>1</v>
      </c>
      <c r="C325" s="3">
        <v>6.25</v>
      </c>
      <c r="D325" s="2">
        <v>17</v>
      </c>
      <c r="E325" s="2">
        <f>TabelaTianguá[[#This Row],[Qtde]]*TabelaTianguá[[#This Row],[Vl. Unitário]]</f>
        <v>106.25</v>
      </c>
      <c r="F325" s="40" t="str">
        <f>VLOOKUP(TabelaTianguá[[#This Row],[Código+Produto]],Base!A:C,3,0)</f>
        <v>tilapia limpa mp</v>
      </c>
      <c r="G325" s="8" t="str">
        <f>VLOOKUP(A325,Base!A:D,4,0)</f>
        <v>PEIXES E FRUTOS DO MAR</v>
      </c>
    </row>
    <row r="326" spans="1:7" x14ac:dyDescent="0.25">
      <c r="A326" s="1" t="s">
        <v>8</v>
      </c>
      <c r="B326" s="1" t="s">
        <v>1</v>
      </c>
      <c r="C326" s="3">
        <v>11</v>
      </c>
      <c r="D326" s="2">
        <v>17</v>
      </c>
      <c r="E326" s="2">
        <f>TabelaTianguá[[#This Row],[Qtde]]*TabelaTianguá[[#This Row],[Vl. Unitário]]</f>
        <v>187</v>
      </c>
      <c r="F326" s="40" t="str">
        <f>VLOOKUP(TabelaTianguá[[#This Row],[Código+Produto]],Base!A:C,3,0)</f>
        <v>tilapia limpa mp</v>
      </c>
      <c r="G326" s="8" t="str">
        <f>VLOOKUP(A326,Base!A:D,4,0)</f>
        <v>PEIXES E FRUTOS DO MAR</v>
      </c>
    </row>
    <row r="327" spans="1:7" x14ac:dyDescent="0.25">
      <c r="A327" s="1" t="s">
        <v>1207</v>
      </c>
      <c r="B327" s="1" t="s">
        <v>6</v>
      </c>
      <c r="C327" s="3">
        <v>12</v>
      </c>
      <c r="D327" s="2">
        <v>1.54</v>
      </c>
      <c r="E327" s="2">
        <f>TabelaTianguá[[#This Row],[Qtde]]*TabelaTianguá[[#This Row],[Vl. Unitário]]</f>
        <v>18.48</v>
      </c>
      <c r="F327" s="7" t="str">
        <f>VLOOKUP(TabelaTianguá[[#This Row],[Código+Produto]],Base!A:C,3,0)</f>
        <v>agua sanitaria</v>
      </c>
      <c r="G327" s="8" t="str">
        <f>VLOOKUP(A327,Base!A:D,4,0)</f>
        <v>MATERIAIS DE LIMPEZA</v>
      </c>
    </row>
    <row r="328" spans="1:7" x14ac:dyDescent="0.25">
      <c r="A328" s="1" t="s">
        <v>9</v>
      </c>
      <c r="B328" s="1" t="s">
        <v>6</v>
      </c>
      <c r="C328" s="3">
        <v>24</v>
      </c>
      <c r="D328" s="2">
        <v>4.12</v>
      </c>
      <c r="E328" s="2">
        <f>TabelaTianguá[[#This Row],[Qtde]]*TabelaTianguá[[#This Row],[Vl. Unitário]]</f>
        <v>98.88</v>
      </c>
      <c r="F328" s="7" t="str">
        <f>VLOOKUP(TabelaTianguá[[#This Row],[Código+Produto]],Base!A:C,3,0)</f>
        <v>detergente liquido</v>
      </c>
      <c r="G328" s="8" t="str">
        <f>VLOOKUP(A328,Base!A:D,4,0)</f>
        <v>MATERIAIS DE LIMPEZA</v>
      </c>
    </row>
    <row r="329" spans="1:7" x14ac:dyDescent="0.25">
      <c r="A329" s="1" t="s">
        <v>1212</v>
      </c>
      <c r="B329" s="1" t="s">
        <v>14</v>
      </c>
      <c r="C329" s="3">
        <v>10</v>
      </c>
      <c r="D329" s="2">
        <v>0.7</v>
      </c>
      <c r="E329" s="2">
        <f>TabelaTianguá[[#This Row],[Qtde]]*TabelaTianguá[[#This Row],[Vl. Unitário]]</f>
        <v>7</v>
      </c>
      <c r="F329" s="7" t="str">
        <f>VLOOKUP(TabelaTianguá[[#This Row],[Código+Produto]],Base!A:C,3,0)</f>
        <v>esponja de lavar louca</v>
      </c>
      <c r="G329" s="8" t="str">
        <f>VLOOKUP(A329,Base!A:D,4,0)</f>
        <v>MATERIAIS DE LIMPEZA</v>
      </c>
    </row>
    <row r="330" spans="1:7" x14ac:dyDescent="0.25">
      <c r="A330" s="1" t="s">
        <v>18</v>
      </c>
      <c r="B330" s="1" t="s">
        <v>1</v>
      </c>
      <c r="C330" s="3">
        <v>3.25</v>
      </c>
      <c r="D330" s="2">
        <v>4</v>
      </c>
      <c r="E330" s="2">
        <f>TabelaTianguá[[#This Row],[Qtde]]*TabelaTianguá[[#This Row],[Vl. Unitário]]</f>
        <v>13</v>
      </c>
      <c r="F330" s="7" t="str">
        <f>VLOOKUP(TabelaTianguá[[#This Row],[Código+Produto]],Base!A:C,3,0)</f>
        <v>prep aipim limpo e cozido</v>
      </c>
      <c r="G330" s="8" t="str">
        <f>VLOOKUP(A330,Base!A:D,4,0)</f>
        <v>PRE PREPARO COZINHA</v>
      </c>
    </row>
    <row r="331" spans="1:7" x14ac:dyDescent="0.25">
      <c r="A331" s="1" t="s">
        <v>18</v>
      </c>
      <c r="B331" s="1" t="s">
        <v>1</v>
      </c>
      <c r="C331" s="3">
        <v>2.8</v>
      </c>
      <c r="D331" s="2">
        <v>6</v>
      </c>
      <c r="E331" s="2">
        <f>TabelaTianguá[[#This Row],[Qtde]]*TabelaTianguá[[#This Row],[Vl. Unitário]]</f>
        <v>16.799999999999997</v>
      </c>
      <c r="F331" s="40" t="str">
        <f>VLOOKUP(TabelaTianguá[[#This Row],[Código+Produto]],Base!A:C,3,0)</f>
        <v>prep aipim limpo e cozido</v>
      </c>
      <c r="G331" s="8" t="str">
        <f>VLOOKUP(A331,Base!A:D,4,0)</f>
        <v>PRE PREPARO COZINHA</v>
      </c>
    </row>
    <row r="332" spans="1:7" x14ac:dyDescent="0.25">
      <c r="A332" s="1" t="s">
        <v>18</v>
      </c>
      <c r="B332" s="1" t="s">
        <v>1</v>
      </c>
      <c r="C332" s="3">
        <v>5.35</v>
      </c>
      <c r="D332" s="2">
        <v>6</v>
      </c>
      <c r="E332" s="2">
        <f>TabelaTianguá[[#This Row],[Qtde]]*TabelaTianguá[[#This Row],[Vl. Unitário]]</f>
        <v>32.099999999999994</v>
      </c>
      <c r="F332" s="40" t="str">
        <f>VLOOKUP(TabelaTianguá[[#This Row],[Código+Produto]],Base!A:C,3,0)</f>
        <v>prep aipim limpo e cozido</v>
      </c>
      <c r="G332" s="8" t="str">
        <f>VLOOKUP(A332,Base!A:D,4,0)</f>
        <v>PRE PREPARO COZINHA</v>
      </c>
    </row>
    <row r="333" spans="1:7" x14ac:dyDescent="0.25">
      <c r="A333" s="1" t="s">
        <v>19</v>
      </c>
      <c r="B333" s="1" t="s">
        <v>1</v>
      </c>
      <c r="C333" s="3">
        <v>3</v>
      </c>
      <c r="D333" s="2">
        <v>9.2658000000000005</v>
      </c>
      <c r="E333" s="2">
        <f>TabelaTianguá[[#This Row],[Qtde]]*TabelaTianguá[[#This Row],[Vl. Unitário]]</f>
        <v>27.797400000000003</v>
      </c>
      <c r="F333" s="7" t="str">
        <f>VLOOKUP(TabelaTianguá[[#This Row],[Código+Produto]],Base!A:C,3,0)</f>
        <v>prep brocolis limpo e cozido</v>
      </c>
      <c r="G333" s="8" t="str">
        <f>VLOOKUP(A333,Base!A:D,4,0)</f>
        <v>PRE PREPARO COZINHA</v>
      </c>
    </row>
    <row r="334" spans="1:7" x14ac:dyDescent="0.25">
      <c r="A334" s="1" t="s">
        <v>19</v>
      </c>
      <c r="B334" s="1" t="s">
        <v>1</v>
      </c>
      <c r="C334" s="3">
        <v>1.5</v>
      </c>
      <c r="D334" s="2">
        <v>9.2658000000000005</v>
      </c>
      <c r="E334" s="2">
        <f>TabelaTianguá[[#This Row],[Qtde]]*TabelaTianguá[[#This Row],[Vl. Unitário]]</f>
        <v>13.898700000000002</v>
      </c>
      <c r="F334" s="7" t="str">
        <f>VLOOKUP(TabelaTianguá[[#This Row],[Código+Produto]],Base!A:C,3,0)</f>
        <v>prep brocolis limpo e cozido</v>
      </c>
      <c r="G334" s="8" t="str">
        <f>VLOOKUP(A334,Base!A:D,4,0)</f>
        <v>PRE PREPARO COZINHA</v>
      </c>
    </row>
    <row r="335" spans="1:7" x14ac:dyDescent="0.25">
      <c r="A335" s="1" t="s">
        <v>1256</v>
      </c>
      <c r="B335" s="1" t="s">
        <v>6</v>
      </c>
      <c r="C335" s="3">
        <v>1</v>
      </c>
      <c r="D335" s="2">
        <v>13.0456</v>
      </c>
      <c r="E335" s="2">
        <f>TabelaTianguá[[#This Row],[Qtde]]*TabelaTianguá[[#This Row],[Vl. Unitário]]</f>
        <v>13.0456</v>
      </c>
      <c r="F335" s="7" t="str">
        <f>VLOOKUP(TabelaTianguá[[#This Row],[Código+Produto]],Base!A:C,3,0)</f>
        <v>cachaca 51 prata mp</v>
      </c>
      <c r="G335" s="8" t="str">
        <f>VLOOKUP(A335,Base!A:D,4,0)</f>
        <v>CACHACAS</v>
      </c>
    </row>
    <row r="336" spans="1:7" x14ac:dyDescent="0.25">
      <c r="A336" s="1" t="s">
        <v>1256</v>
      </c>
      <c r="B336" s="1" t="s">
        <v>6</v>
      </c>
      <c r="C336" s="3">
        <v>1</v>
      </c>
      <c r="D336" s="2">
        <v>13.0456</v>
      </c>
      <c r="E336" s="2">
        <f>TabelaTianguá[[#This Row],[Qtde]]*TabelaTianguá[[#This Row],[Vl. Unitário]]</f>
        <v>13.0456</v>
      </c>
      <c r="F336" s="7" t="str">
        <f>VLOOKUP(TabelaTianguá[[#This Row],[Código+Produto]],Base!A:C,3,0)</f>
        <v>cachaca 51 prata mp</v>
      </c>
      <c r="G336" s="8" t="str">
        <f>VLOOKUP(A336,Base!A:D,4,0)</f>
        <v>CACHACAS</v>
      </c>
    </row>
    <row r="337" spans="1:7" x14ac:dyDescent="0.25">
      <c r="A337" s="1" t="s">
        <v>1240</v>
      </c>
      <c r="B337" s="1" t="s">
        <v>6</v>
      </c>
      <c r="C337" s="3">
        <v>2</v>
      </c>
      <c r="D337" s="2">
        <v>17</v>
      </c>
      <c r="E337" s="2">
        <f>TabelaTianguá[[#This Row],[Qtde]]*TabelaTianguá[[#This Row],[Vl. Unitário]]</f>
        <v>34</v>
      </c>
      <c r="F337" s="7" t="str">
        <f>VLOOKUP(TabelaTianguá[[#This Row],[Código+Produto]],Base!A:C,3,0)</f>
        <v>cachaca ypioca ouro mp</v>
      </c>
      <c r="G337" s="8" t="str">
        <f>VLOOKUP(A337,Base!A:D,4,0)</f>
        <v>CACHACAS</v>
      </c>
    </row>
    <row r="338" spans="1:7" x14ac:dyDescent="0.25">
      <c r="A338" s="1" t="s">
        <v>1242</v>
      </c>
      <c r="B338" s="1" t="s">
        <v>1258</v>
      </c>
      <c r="C338" s="3">
        <v>2</v>
      </c>
      <c r="D338" s="2">
        <v>11.3035</v>
      </c>
      <c r="E338" s="2">
        <f>TabelaTianguá[[#This Row],[Qtde]]*TabelaTianguá[[#This Row],[Vl. Unitário]]</f>
        <v>22.606999999999999</v>
      </c>
      <c r="F338" s="7" t="str">
        <f>VLOOKUP(TabelaTianguá[[#This Row],[Código+Produto]],Base!A:C,3,0)</f>
        <v>vodka slova mp</v>
      </c>
      <c r="G338" s="8" t="str">
        <f>VLOOKUP(A338,Base!A:D,4,0)</f>
        <v>VODKAS</v>
      </c>
    </row>
    <row r="339" spans="1:7" x14ac:dyDescent="0.25">
      <c r="A339" s="1" t="s">
        <v>1234</v>
      </c>
      <c r="B339" s="1" t="s">
        <v>6</v>
      </c>
      <c r="C339" s="3">
        <v>2</v>
      </c>
      <c r="D339" s="2">
        <v>35.5</v>
      </c>
      <c r="E339" s="2">
        <f>TabelaTianguá[[#This Row],[Qtde]]*TabelaTianguá[[#This Row],[Vl. Unitário]]</f>
        <v>71</v>
      </c>
      <c r="F339" s="7" t="str">
        <f>VLOOKUP(TabelaTianguá[[#This Row],[Código+Produto]],Base!A:C,3,0)</f>
        <v>vodka smirnoff mp</v>
      </c>
      <c r="G339" s="8" t="str">
        <f>VLOOKUP(A339,Base!A:D,4,0)</f>
        <v>VODKAS</v>
      </c>
    </row>
    <row r="340" spans="1:7" x14ac:dyDescent="0.25">
      <c r="A340" s="1" t="s">
        <v>1235</v>
      </c>
      <c r="B340" s="1" t="s">
        <v>6</v>
      </c>
      <c r="C340" s="3">
        <v>1</v>
      </c>
      <c r="D340" s="2">
        <v>64.67</v>
      </c>
      <c r="E340" s="2">
        <f>TabelaTianguá[[#This Row],[Qtde]]*TabelaTianguá[[#This Row],[Vl. Unitário]]</f>
        <v>64.67</v>
      </c>
      <c r="F340" s="7" t="str">
        <f>VLOOKUP(TabelaTianguá[[#This Row],[Código+Produto]],Base!A:C,3,0)</f>
        <v>whisky black white mp</v>
      </c>
      <c r="G340" s="8" t="str">
        <f>VLOOKUP(A340,Base!A:D,4,0)</f>
        <v>WHISKIES</v>
      </c>
    </row>
    <row r="341" spans="1:7" x14ac:dyDescent="0.25">
      <c r="A341" s="1" t="s">
        <v>1238</v>
      </c>
      <c r="B341" s="1" t="s">
        <v>6</v>
      </c>
      <c r="C341" s="3">
        <v>1</v>
      </c>
      <c r="D341" s="2">
        <v>87.5</v>
      </c>
      <c r="E341" s="2">
        <f>TabelaTianguá[[#This Row],[Qtde]]*TabelaTianguá[[#This Row],[Vl. Unitário]]</f>
        <v>87.5</v>
      </c>
      <c r="F341" s="7" t="str">
        <f>VLOOKUP(TabelaTianguá[[#This Row],[Código+Produto]],Base!A:C,3,0)</f>
        <v>whisky red label mp</v>
      </c>
      <c r="G341" s="8" t="str">
        <f>VLOOKUP(A341,Base!A:D,4,0)</f>
        <v>WHISKIES</v>
      </c>
    </row>
    <row r="342" spans="1:7" x14ac:dyDescent="0.25">
      <c r="A342" s="1" t="s">
        <v>1257</v>
      </c>
      <c r="B342" s="1" t="s">
        <v>6</v>
      </c>
      <c r="C342" s="3">
        <v>1</v>
      </c>
      <c r="D342" s="2">
        <v>73.75</v>
      </c>
      <c r="E342" s="2">
        <f>TabelaTianguá[[#This Row],[Qtde]]*TabelaTianguá[[#This Row],[Vl. Unitário]]</f>
        <v>73.75</v>
      </c>
      <c r="F342" s="7" t="str">
        <f>VLOOKUP(TabelaTianguá[[#This Row],[Código+Produto]],Base!A:C,3,0)</f>
        <v>whisky white horse mp</v>
      </c>
      <c r="G342" s="8" t="str">
        <f>VLOOKUP(A342,Base!A:D,4,0)</f>
        <v>WHISKIES</v>
      </c>
    </row>
    <row r="343" spans="1:7" x14ac:dyDescent="0.25">
      <c r="A343" s="1" t="s">
        <v>20</v>
      </c>
      <c r="B343" s="1" t="s">
        <v>1</v>
      </c>
      <c r="C343" s="3">
        <v>6.2</v>
      </c>
      <c r="D343" s="2">
        <v>4.9016000000000002</v>
      </c>
      <c r="E343" s="2">
        <f>TabelaTianguá[[#This Row],[Qtde]]*TabelaTianguá[[#This Row],[Vl. Unitário]]</f>
        <v>30.389920000000004</v>
      </c>
      <c r="F343" s="7" t="str">
        <f>VLOOKUP(TabelaTianguá[[#This Row],[Código+Produto]],Base!A:C,3,0)</f>
        <v>prep farofa</v>
      </c>
      <c r="G343" s="8" t="str">
        <f>VLOOKUP(A343,Base!A:D,4,0)</f>
        <v>PRE PREPARO COZINHA</v>
      </c>
    </row>
    <row r="344" spans="1:7" x14ac:dyDescent="0.25">
      <c r="A344" s="1" t="s">
        <v>20</v>
      </c>
      <c r="B344" s="1" t="s">
        <v>1</v>
      </c>
      <c r="C344" s="3">
        <v>4.25</v>
      </c>
      <c r="D344" s="2">
        <v>4.9016000000000002</v>
      </c>
      <c r="E344" s="2">
        <f>TabelaTianguá[[#This Row],[Qtde]]*TabelaTianguá[[#This Row],[Vl. Unitário]]</f>
        <v>20.831800000000001</v>
      </c>
      <c r="F344" s="7" t="str">
        <f>VLOOKUP(TabelaTianguá[[#This Row],[Código+Produto]],Base!A:C,3,0)</f>
        <v>prep farofa</v>
      </c>
      <c r="G344" s="8" t="str">
        <f>VLOOKUP(A344,Base!A:D,4,0)</f>
        <v>PRE PREPARO COZINHA</v>
      </c>
    </row>
    <row r="345" spans="1:7" x14ac:dyDescent="0.25">
      <c r="A345" s="1" t="s">
        <v>20</v>
      </c>
      <c r="B345" s="1" t="s">
        <v>1</v>
      </c>
      <c r="C345" s="3">
        <v>7</v>
      </c>
      <c r="D345" s="2">
        <v>4.9016000000000002</v>
      </c>
      <c r="E345" s="2">
        <f>TabelaTianguá[[#This Row],[Qtde]]*TabelaTianguá[[#This Row],[Vl. Unitário]]</f>
        <v>34.311199999999999</v>
      </c>
      <c r="F345" s="7" t="str">
        <f>VLOOKUP(TabelaTianguá[[#This Row],[Código+Produto]],Base!A:C,3,0)</f>
        <v>prep farofa</v>
      </c>
      <c r="G345" s="8" t="str">
        <f>VLOOKUP(A345,Base!A:D,4,0)</f>
        <v>PRE PREPARO COZINHA</v>
      </c>
    </row>
    <row r="346" spans="1:7" x14ac:dyDescent="0.25">
      <c r="A346" s="1" t="s">
        <v>20</v>
      </c>
      <c r="B346" s="1" t="s">
        <v>1</v>
      </c>
      <c r="C346" s="3">
        <v>6.65</v>
      </c>
      <c r="D346" s="2">
        <v>4.9016000000000002</v>
      </c>
      <c r="E346" s="2">
        <f>TabelaTianguá[[#This Row],[Qtde]]*TabelaTianguá[[#This Row],[Vl. Unitário]]</f>
        <v>32.595640000000003</v>
      </c>
      <c r="F346" s="7" t="str">
        <f>VLOOKUP(TabelaTianguá[[#This Row],[Código+Produto]],Base!A:C,3,0)</f>
        <v>prep farofa</v>
      </c>
      <c r="G346" s="8" t="str">
        <f>VLOOKUP(A346,Base!A:D,4,0)</f>
        <v>PRE PREPARO COZINHA</v>
      </c>
    </row>
    <row r="347" spans="1:7" x14ac:dyDescent="0.25">
      <c r="A347" s="1" t="s">
        <v>20</v>
      </c>
      <c r="B347" s="1" t="s">
        <v>1</v>
      </c>
      <c r="C347" s="3">
        <v>6.7</v>
      </c>
      <c r="D347" s="2">
        <v>4.9016000000000002</v>
      </c>
      <c r="E347" s="2">
        <f>TabelaTianguá[[#This Row],[Qtde]]*TabelaTianguá[[#This Row],[Vl. Unitário]]</f>
        <v>32.840720000000005</v>
      </c>
      <c r="F347" s="7" t="str">
        <f>VLOOKUP(TabelaTianguá[[#This Row],[Código+Produto]],Base!A:C,3,0)</f>
        <v>prep farofa</v>
      </c>
      <c r="G347" s="8" t="str">
        <f>VLOOKUP(A347,Base!A:D,4,0)</f>
        <v>PRE PREPARO COZINHA</v>
      </c>
    </row>
    <row r="348" spans="1:7" x14ac:dyDescent="0.25">
      <c r="A348" s="1" t="s">
        <v>20</v>
      </c>
      <c r="B348" s="1" t="s">
        <v>1</v>
      </c>
      <c r="C348" s="3">
        <v>5.15</v>
      </c>
      <c r="D348" s="2">
        <v>4.9016000000000002</v>
      </c>
      <c r="E348" s="2">
        <f>TabelaTianguá[[#This Row],[Qtde]]*TabelaTianguá[[#This Row],[Vl. Unitário]]</f>
        <v>25.243240000000004</v>
      </c>
      <c r="F348" s="7" t="str">
        <f>VLOOKUP(TabelaTianguá[[#This Row],[Código+Produto]],Base!A:C,3,0)</f>
        <v>prep farofa</v>
      </c>
      <c r="G348" s="8" t="str">
        <f>VLOOKUP(A348,Base!A:D,4,0)</f>
        <v>PRE PREPARO COZINHA</v>
      </c>
    </row>
    <row r="349" spans="1:7" x14ac:dyDescent="0.25">
      <c r="A349" s="1" t="s">
        <v>20</v>
      </c>
      <c r="B349" s="1" t="s">
        <v>1</v>
      </c>
      <c r="C349" s="3">
        <v>4.9000000000000004</v>
      </c>
      <c r="D349" s="2">
        <v>4.9016000000000002</v>
      </c>
      <c r="E349" s="2">
        <f>TabelaTianguá[[#This Row],[Qtde]]*TabelaTianguá[[#This Row],[Vl. Unitário]]</f>
        <v>24.017840000000003</v>
      </c>
      <c r="F349" s="7" t="str">
        <f>VLOOKUP(TabelaTianguá[[#This Row],[Código+Produto]],Base!A:C,3,0)</f>
        <v>prep farofa</v>
      </c>
      <c r="G349" s="8" t="str">
        <f>VLOOKUP(A349,Base!A:D,4,0)</f>
        <v>PRE PREPARO COZINHA</v>
      </c>
    </row>
    <row r="350" spans="1:7" x14ac:dyDescent="0.25">
      <c r="A350" s="1" t="s">
        <v>20</v>
      </c>
      <c r="B350" s="1" t="s">
        <v>1</v>
      </c>
      <c r="C350" s="3">
        <v>2.65</v>
      </c>
      <c r="D350" s="2">
        <v>4.9016000000000002</v>
      </c>
      <c r="E350" s="2">
        <f>TabelaTianguá[[#This Row],[Qtde]]*TabelaTianguá[[#This Row],[Vl. Unitário]]</f>
        <v>12.989240000000001</v>
      </c>
      <c r="F350" s="7" t="str">
        <f>VLOOKUP(TabelaTianguá[[#This Row],[Código+Produto]],Base!A:C,3,0)</f>
        <v>prep farofa</v>
      </c>
      <c r="G350" s="8" t="str">
        <f>VLOOKUP(A350,Base!A:D,4,0)</f>
        <v>PRE PREPARO COZINHA</v>
      </c>
    </row>
    <row r="351" spans="1:7" x14ac:dyDescent="0.25">
      <c r="A351" s="1" t="s">
        <v>20</v>
      </c>
      <c r="B351" s="1" t="s">
        <v>1</v>
      </c>
      <c r="C351" s="3">
        <v>4.5</v>
      </c>
      <c r="D351" s="2">
        <v>4.9016000000000002</v>
      </c>
      <c r="E351" s="2">
        <f>TabelaTianguá[[#This Row],[Qtde]]*TabelaTianguá[[#This Row],[Vl. Unitário]]</f>
        <v>22.057200000000002</v>
      </c>
      <c r="F351" s="7" t="str">
        <f>VLOOKUP(TabelaTianguá[[#This Row],[Código+Produto]],Base!A:C,3,0)</f>
        <v>prep farofa</v>
      </c>
      <c r="G351" s="8" t="str">
        <f>VLOOKUP(A351,Base!A:D,4,0)</f>
        <v>PRE PREPARO COZINHA</v>
      </c>
    </row>
    <row r="352" spans="1:7" x14ac:dyDescent="0.25">
      <c r="A352" s="1" t="s">
        <v>20</v>
      </c>
      <c r="B352" s="1" t="s">
        <v>1</v>
      </c>
      <c r="C352" s="3">
        <v>6.6</v>
      </c>
      <c r="D352" s="2">
        <v>4.9016000000000002</v>
      </c>
      <c r="E352" s="2">
        <f>TabelaTianguá[[#This Row],[Qtde]]*TabelaTianguá[[#This Row],[Vl. Unitário]]</f>
        <v>32.350560000000002</v>
      </c>
      <c r="F352" s="40" t="str">
        <f>VLOOKUP(TabelaTianguá[[#This Row],[Código+Produto]],Base!A:C,3,0)</f>
        <v>prep farofa</v>
      </c>
      <c r="G352" s="8" t="str">
        <f>VLOOKUP(A352,Base!A:D,4,0)</f>
        <v>PRE PREPARO COZINHA</v>
      </c>
    </row>
    <row r="353" spans="1:7" x14ac:dyDescent="0.25">
      <c r="A353" s="1" t="s">
        <v>1261</v>
      </c>
      <c r="B353" s="1" t="s">
        <v>6</v>
      </c>
      <c r="C353" s="3">
        <v>4</v>
      </c>
      <c r="D353" s="2">
        <v>16</v>
      </c>
      <c r="E353" s="2">
        <f>TabelaTianguá[[#This Row],[Qtde]]*TabelaTianguá[[#This Row],[Vl. Unitário]]</f>
        <v>64</v>
      </c>
      <c r="F353" s="40" t="str">
        <f>VLOOKUP(TabelaTianguá[[#This Row],[Código+Produto]],Base!A:C,3,0)</f>
        <v>vinho o gaucho suave mp</v>
      </c>
      <c r="G353" s="8" t="str">
        <f>VLOOKUP(A353,Base!A:D,4,0)</f>
        <v>VINHOS</v>
      </c>
    </row>
  </sheetData>
  <mergeCells count="40">
    <mergeCell ref="I91:K91"/>
    <mergeCell ref="I92:I93"/>
    <mergeCell ref="I94:K94"/>
    <mergeCell ref="I96:K96"/>
    <mergeCell ref="I98:K98"/>
    <mergeCell ref="I68:K68"/>
    <mergeCell ref="I70:K70"/>
    <mergeCell ref="I72:K72"/>
    <mergeCell ref="I73:I75"/>
    <mergeCell ref="I76:K76"/>
    <mergeCell ref="I41:K41"/>
    <mergeCell ref="I42:I44"/>
    <mergeCell ref="I45:K45"/>
    <mergeCell ref="I46:I57"/>
    <mergeCell ref="I58:K58"/>
    <mergeCell ref="I21:I23"/>
    <mergeCell ref="I24:K24"/>
    <mergeCell ref="I25:I28"/>
    <mergeCell ref="I29:K29"/>
    <mergeCell ref="I30:I40"/>
    <mergeCell ref="I10:K10"/>
    <mergeCell ref="I11:I13"/>
    <mergeCell ref="I14:K14"/>
    <mergeCell ref="I15:I17"/>
    <mergeCell ref="I18:K18"/>
    <mergeCell ref="I78:K78"/>
    <mergeCell ref="I79:I81"/>
    <mergeCell ref="I82:K82"/>
    <mergeCell ref="I83:I84"/>
    <mergeCell ref="I20:K20"/>
    <mergeCell ref="I100:K100"/>
    <mergeCell ref="I85:K85"/>
    <mergeCell ref="I87:K87"/>
    <mergeCell ref="I89:K89"/>
    <mergeCell ref="I59:I67"/>
    <mergeCell ref="A1:G4"/>
    <mergeCell ref="I1:L4"/>
    <mergeCell ref="M1:N2"/>
    <mergeCell ref="M3:N4"/>
    <mergeCell ref="I6:I9"/>
  </mergeCells>
  <pageMargins left="0.23622047244094491" right="0.23622047244094491" top="0.23622047244094491" bottom="0.23622047244094491" header="0" footer="0"/>
  <pageSetup paperSize="9" scale="92" fitToHeight="0"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1957-7DFD-4F28-8828-A841ECD1F937}">
  <dimension ref="A1:D1018"/>
  <sheetViews>
    <sheetView workbookViewId="0"/>
  </sheetViews>
  <sheetFormatPr defaultRowHeight="15" x14ac:dyDescent="0.25"/>
  <cols>
    <col min="1" max="1" width="39.140625" bestFit="1" customWidth="1"/>
    <col min="2" max="2" width="7.42578125" bestFit="1" customWidth="1"/>
    <col min="3" max="3" width="35.140625" bestFit="1" customWidth="1"/>
    <col min="4" max="4" width="29.42578125" bestFit="1" customWidth="1"/>
  </cols>
  <sheetData>
    <row r="1" spans="1:4" x14ac:dyDescent="0.25">
      <c r="A1" s="1" t="s">
        <v>58</v>
      </c>
      <c r="B1" s="1" t="s">
        <v>1184</v>
      </c>
      <c r="C1" s="1" t="s">
        <v>1183</v>
      </c>
      <c r="D1" s="1" t="s">
        <v>1185</v>
      </c>
    </row>
    <row r="2" spans="1:4" x14ac:dyDescent="0.25">
      <c r="A2" s="1" t="str">
        <f>B2&amp;"-"&amp;C2</f>
        <v>1-AGUA SEM GAS 500ML</v>
      </c>
      <c r="B2" s="1">
        <v>1</v>
      </c>
      <c r="C2" s="1" t="s">
        <v>62</v>
      </c>
      <c r="D2" s="1" t="s">
        <v>63</v>
      </c>
    </row>
    <row r="3" spans="1:4" x14ac:dyDescent="0.25">
      <c r="A3" s="1" t="str">
        <f t="shared" ref="A3:A66" si="0">B3&amp;"-"&amp;C3</f>
        <v>2-AGUA SEM GAS 1,5L</v>
      </c>
      <c r="B3" s="1">
        <v>2</v>
      </c>
      <c r="C3" s="1" t="s">
        <v>64</v>
      </c>
      <c r="D3" s="1" t="s">
        <v>63</v>
      </c>
    </row>
    <row r="4" spans="1:4" x14ac:dyDescent="0.25">
      <c r="A4" s="1" t="str">
        <f t="shared" si="0"/>
        <v>3-AGUA COM GAS 500ML</v>
      </c>
      <c r="B4" s="1">
        <v>3</v>
      </c>
      <c r="C4" s="1" t="s">
        <v>65</v>
      </c>
      <c r="D4" s="1" t="s">
        <v>63</v>
      </c>
    </row>
    <row r="5" spans="1:4" x14ac:dyDescent="0.25">
      <c r="A5" s="1" t="str">
        <f t="shared" si="0"/>
        <v>4-AGUA DE COCO</v>
      </c>
      <c r="B5" s="1">
        <v>4</v>
      </c>
      <c r="C5" s="1" t="s">
        <v>66</v>
      </c>
      <c r="D5" s="1" t="s">
        <v>63</v>
      </c>
    </row>
    <row r="6" spans="1:4" x14ac:dyDescent="0.25">
      <c r="A6" s="1" t="str">
        <f t="shared" si="0"/>
        <v>5-AGUA TONICA ANTARCTICA 350ML</v>
      </c>
      <c r="B6" s="1">
        <v>5</v>
      </c>
      <c r="C6" s="1" t="s">
        <v>67</v>
      </c>
      <c r="D6" s="1" t="s">
        <v>63</v>
      </c>
    </row>
    <row r="7" spans="1:4" x14ac:dyDescent="0.25">
      <c r="A7" s="1" t="str">
        <f t="shared" si="0"/>
        <v>6-AGUA TONICA SCHWEPPES 350ML</v>
      </c>
      <c r="B7" s="1">
        <v>6</v>
      </c>
      <c r="C7" s="1" t="s">
        <v>68</v>
      </c>
      <c r="D7" s="1" t="s">
        <v>63</v>
      </c>
    </row>
    <row r="8" spans="1:4" x14ac:dyDescent="0.25">
      <c r="A8" s="1" t="str">
        <f t="shared" si="0"/>
        <v>7-SUCO LARANJA 1100ML</v>
      </c>
      <c r="B8" s="1">
        <v>7</v>
      </c>
      <c r="C8" s="1" t="s">
        <v>69</v>
      </c>
      <c r="D8" s="1" t="s">
        <v>70</v>
      </c>
    </row>
    <row r="9" spans="1:4" x14ac:dyDescent="0.25">
      <c r="A9" s="1" t="str">
        <f t="shared" si="0"/>
        <v>8-SUCO LARANJA 750ML</v>
      </c>
      <c r="B9" s="1">
        <v>8</v>
      </c>
      <c r="C9" s="1" t="s">
        <v>71</v>
      </c>
      <c r="D9" s="1" t="s">
        <v>70</v>
      </c>
    </row>
    <row r="10" spans="1:4" x14ac:dyDescent="0.25">
      <c r="A10" s="1" t="str">
        <f t="shared" si="0"/>
        <v>9-SUCO LARANJA 350ML</v>
      </c>
      <c r="B10" s="1">
        <v>9</v>
      </c>
      <c r="C10" s="1" t="s">
        <v>72</v>
      </c>
      <c r="D10" s="1" t="s">
        <v>70</v>
      </c>
    </row>
    <row r="11" spans="1:4" x14ac:dyDescent="0.25">
      <c r="A11" s="1" t="str">
        <f t="shared" si="0"/>
        <v>10-SUCO ABACAXI 1100ML</v>
      </c>
      <c r="B11" s="1">
        <v>10</v>
      </c>
      <c r="C11" s="1" t="s">
        <v>73</v>
      </c>
      <c r="D11" s="1" t="s">
        <v>70</v>
      </c>
    </row>
    <row r="12" spans="1:4" x14ac:dyDescent="0.25">
      <c r="A12" s="1" t="str">
        <f t="shared" si="0"/>
        <v>11-SUCO ABACAXI 750ML</v>
      </c>
      <c r="B12" s="1">
        <v>11</v>
      </c>
      <c r="C12" s="1" t="s">
        <v>74</v>
      </c>
      <c r="D12" s="1" t="s">
        <v>70</v>
      </c>
    </row>
    <row r="13" spans="1:4" x14ac:dyDescent="0.25">
      <c r="A13" s="1" t="str">
        <f t="shared" si="0"/>
        <v>12-SUCO ABACAXI 350ML</v>
      </c>
      <c r="B13" s="1">
        <v>12</v>
      </c>
      <c r="C13" s="1" t="s">
        <v>75</v>
      </c>
      <c r="D13" s="1" t="s">
        <v>70</v>
      </c>
    </row>
    <row r="14" spans="1:4" x14ac:dyDescent="0.25">
      <c r="A14" s="1" t="str">
        <f t="shared" si="0"/>
        <v>13-SUCO LIMAO 1100ML</v>
      </c>
      <c r="B14" s="1">
        <v>13</v>
      </c>
      <c r="C14" s="1" t="s">
        <v>76</v>
      </c>
      <c r="D14" s="1" t="s">
        <v>70</v>
      </c>
    </row>
    <row r="15" spans="1:4" x14ac:dyDescent="0.25">
      <c r="A15" s="1" t="str">
        <f t="shared" si="0"/>
        <v>14-SUCO LIMAO 750ML</v>
      </c>
      <c r="B15" s="1">
        <v>14</v>
      </c>
      <c r="C15" s="1" t="s">
        <v>77</v>
      </c>
      <c r="D15" s="1" t="s">
        <v>70</v>
      </c>
    </row>
    <row r="16" spans="1:4" x14ac:dyDescent="0.25">
      <c r="A16" s="1" t="str">
        <f t="shared" si="0"/>
        <v>15-SUCO LIMAO 350ML</v>
      </c>
      <c r="B16" s="1">
        <v>15</v>
      </c>
      <c r="C16" s="1" t="s">
        <v>78</v>
      </c>
      <c r="D16" s="1" t="s">
        <v>70</v>
      </c>
    </row>
    <row r="17" spans="1:4" x14ac:dyDescent="0.25">
      <c r="A17" s="1" t="str">
        <f t="shared" si="0"/>
        <v>16-SUCO MARACUJA 1100ML</v>
      </c>
      <c r="B17" s="1">
        <v>16</v>
      </c>
      <c r="C17" s="1" t="s">
        <v>79</v>
      </c>
      <c r="D17" s="1" t="s">
        <v>70</v>
      </c>
    </row>
    <row r="18" spans="1:4" x14ac:dyDescent="0.25">
      <c r="A18" s="1" t="str">
        <f t="shared" si="0"/>
        <v>17-SUCO MARACUJA 750ML</v>
      </c>
      <c r="B18" s="1">
        <v>17</v>
      </c>
      <c r="C18" s="1" t="s">
        <v>80</v>
      </c>
      <c r="D18" s="1" t="s">
        <v>70</v>
      </c>
    </row>
    <row r="19" spans="1:4" x14ac:dyDescent="0.25">
      <c r="A19" s="1" t="str">
        <f t="shared" si="0"/>
        <v>18-SUCO MARACUJA 350ML</v>
      </c>
      <c r="B19" s="1">
        <v>18</v>
      </c>
      <c r="C19" s="1" t="s">
        <v>81</v>
      </c>
      <c r="D19" s="1" t="s">
        <v>70</v>
      </c>
    </row>
    <row r="20" spans="1:4" x14ac:dyDescent="0.25">
      <c r="A20" s="1" t="str">
        <f t="shared" si="0"/>
        <v>19-COQUETEL DE FRUTAS SEM ALCOOL</v>
      </c>
      <c r="B20" s="1">
        <v>19</v>
      </c>
      <c r="C20" s="1" t="s">
        <v>82</v>
      </c>
      <c r="D20" s="1" t="s">
        <v>83</v>
      </c>
    </row>
    <row r="21" spans="1:4" x14ac:dyDescent="0.25">
      <c r="A21" s="1" t="str">
        <f t="shared" si="0"/>
        <v>20-CAJUINA SAO GERALDO 2L</v>
      </c>
      <c r="B21" s="1">
        <v>20</v>
      </c>
      <c r="C21" s="1" t="s">
        <v>84</v>
      </c>
      <c r="D21" s="1" t="s">
        <v>85</v>
      </c>
    </row>
    <row r="22" spans="1:4" x14ac:dyDescent="0.25">
      <c r="A22" s="1" t="str">
        <f t="shared" si="0"/>
        <v>21-CAJUINA SAO GERALDO 1L</v>
      </c>
      <c r="B22" s="1">
        <v>21</v>
      </c>
      <c r="C22" s="1" t="s">
        <v>86</v>
      </c>
      <c r="D22" s="1" t="s">
        <v>85</v>
      </c>
    </row>
    <row r="23" spans="1:4" x14ac:dyDescent="0.25">
      <c r="A23" s="1" t="str">
        <f t="shared" si="0"/>
        <v>22-CAJUINA SAO GERALDO 600ML</v>
      </c>
      <c r="B23" s="1">
        <v>22</v>
      </c>
      <c r="C23" s="1" t="s">
        <v>87</v>
      </c>
      <c r="D23" s="1" t="s">
        <v>85</v>
      </c>
    </row>
    <row r="24" spans="1:4" x14ac:dyDescent="0.25">
      <c r="A24" s="1" t="str">
        <f t="shared" si="0"/>
        <v>23-COCA-COLA 2L</v>
      </c>
      <c r="B24" s="1">
        <v>23</v>
      </c>
      <c r="C24" s="1" t="s">
        <v>88</v>
      </c>
      <c r="D24" s="1" t="s">
        <v>85</v>
      </c>
    </row>
    <row r="25" spans="1:4" x14ac:dyDescent="0.25">
      <c r="A25" s="1" t="str">
        <f t="shared" si="0"/>
        <v>24-COCA-COLA LS 1L</v>
      </c>
      <c r="B25" s="1">
        <v>24</v>
      </c>
      <c r="C25" s="1" t="s">
        <v>89</v>
      </c>
      <c r="D25" s="1" t="s">
        <v>85</v>
      </c>
    </row>
    <row r="26" spans="1:4" x14ac:dyDescent="0.25">
      <c r="A26" s="1" t="str">
        <f t="shared" si="0"/>
        <v>25-COCA-COLA 600ML</v>
      </c>
      <c r="B26" s="1">
        <v>25</v>
      </c>
      <c r="C26" s="1" t="s">
        <v>90</v>
      </c>
      <c r="D26" s="1" t="s">
        <v>85</v>
      </c>
    </row>
    <row r="27" spans="1:4" x14ac:dyDescent="0.25">
      <c r="A27" s="1" t="str">
        <f t="shared" si="0"/>
        <v>26-COCA-COLA LATA 350ML</v>
      </c>
      <c r="B27" s="1">
        <v>26</v>
      </c>
      <c r="C27" s="1" t="s">
        <v>91</v>
      </c>
      <c r="D27" s="1" t="s">
        <v>85</v>
      </c>
    </row>
    <row r="28" spans="1:4" x14ac:dyDescent="0.25">
      <c r="A28" s="1" t="str">
        <f t="shared" si="0"/>
        <v>27-COCA-COLA ZERO LATA 350ML</v>
      </c>
      <c r="B28" s="1">
        <v>27</v>
      </c>
      <c r="C28" s="1" t="s">
        <v>92</v>
      </c>
      <c r="D28" s="1" t="s">
        <v>85</v>
      </c>
    </row>
    <row r="29" spans="1:4" x14ac:dyDescent="0.25">
      <c r="A29" s="1" t="str">
        <f t="shared" si="0"/>
        <v>28-COCA-COLA KS 290ML</v>
      </c>
      <c r="B29" s="1">
        <v>28</v>
      </c>
      <c r="C29" s="1" t="s">
        <v>93</v>
      </c>
      <c r="D29" s="1" t="s">
        <v>85</v>
      </c>
    </row>
    <row r="30" spans="1:4" x14ac:dyDescent="0.25">
      <c r="A30" s="1" t="str">
        <f t="shared" si="0"/>
        <v>29-DELRIO GUARANA 2L</v>
      </c>
      <c r="B30" s="1">
        <v>29</v>
      </c>
      <c r="C30" s="1" t="s">
        <v>94</v>
      </c>
      <c r="D30" s="1" t="s">
        <v>85</v>
      </c>
    </row>
    <row r="31" spans="1:4" x14ac:dyDescent="0.25">
      <c r="A31" s="1" t="str">
        <f t="shared" si="0"/>
        <v>30-DELRIO GUARANA 1L</v>
      </c>
      <c r="B31" s="1">
        <v>30</v>
      </c>
      <c r="C31" s="1" t="s">
        <v>95</v>
      </c>
      <c r="D31" s="1" t="s">
        <v>85</v>
      </c>
    </row>
    <row r="32" spans="1:4" x14ac:dyDescent="0.25">
      <c r="A32" s="1" t="str">
        <f t="shared" si="0"/>
        <v>31-DELRIO LARANJA 2L</v>
      </c>
      <c r="B32" s="1">
        <v>31</v>
      </c>
      <c r="C32" s="1" t="s">
        <v>96</v>
      </c>
      <c r="D32" s="1" t="s">
        <v>85</v>
      </c>
    </row>
    <row r="33" spans="1:4" x14ac:dyDescent="0.25">
      <c r="A33" s="1" t="str">
        <f t="shared" si="0"/>
        <v>32-GUARANA ANTARCTICA 2L</v>
      </c>
      <c r="B33" s="1">
        <v>32</v>
      </c>
      <c r="C33" s="1" t="s">
        <v>97</v>
      </c>
      <c r="D33" s="1" t="s">
        <v>85</v>
      </c>
    </row>
    <row r="34" spans="1:4" x14ac:dyDescent="0.25">
      <c r="A34" s="1" t="str">
        <f t="shared" si="0"/>
        <v>33-GUARANA ANTARCTICA 1L</v>
      </c>
      <c r="B34" s="1">
        <v>33</v>
      </c>
      <c r="C34" s="1" t="s">
        <v>98</v>
      </c>
      <c r="D34" s="1" t="s">
        <v>85</v>
      </c>
    </row>
    <row r="35" spans="1:4" x14ac:dyDescent="0.25">
      <c r="A35" s="1" t="str">
        <f t="shared" si="0"/>
        <v>34-GUARANA ANTARCTICA LATA 350ML</v>
      </c>
      <c r="B35" s="1">
        <v>34</v>
      </c>
      <c r="C35" s="1" t="s">
        <v>99</v>
      </c>
      <c r="D35" s="1" t="s">
        <v>85</v>
      </c>
    </row>
    <row r="36" spans="1:4" x14ac:dyDescent="0.25">
      <c r="A36" s="1" t="str">
        <f t="shared" si="0"/>
        <v>35-GUARANA KUAT LATA 350ML</v>
      </c>
      <c r="B36" s="1">
        <v>35</v>
      </c>
      <c r="C36" s="1" t="s">
        <v>100</v>
      </c>
      <c r="D36" s="1" t="s">
        <v>85</v>
      </c>
    </row>
    <row r="37" spans="1:4" x14ac:dyDescent="0.25">
      <c r="A37" s="1" t="str">
        <f t="shared" si="0"/>
        <v>36-FANTA LARANJA LATA 350ML</v>
      </c>
      <c r="B37" s="1">
        <v>36</v>
      </c>
      <c r="C37" s="1" t="s">
        <v>101</v>
      </c>
      <c r="D37" s="1" t="s">
        <v>85</v>
      </c>
    </row>
    <row r="38" spans="1:4" x14ac:dyDescent="0.25">
      <c r="A38" s="1" t="str">
        <f t="shared" si="0"/>
        <v>37-FANTA UVA LATA 350ML</v>
      </c>
      <c r="B38" s="1">
        <v>37</v>
      </c>
      <c r="C38" s="1" t="s">
        <v>102</v>
      </c>
      <c r="D38" s="1" t="s">
        <v>85</v>
      </c>
    </row>
    <row r="39" spans="1:4" x14ac:dyDescent="0.25">
      <c r="A39" s="1" t="str">
        <f t="shared" si="0"/>
        <v>38-PEPSI ZERO LATA 350ML</v>
      </c>
      <c r="B39" s="1">
        <v>38</v>
      </c>
      <c r="C39" s="1" t="s">
        <v>103</v>
      </c>
      <c r="D39" s="1" t="s">
        <v>85</v>
      </c>
    </row>
    <row r="40" spans="1:4" x14ac:dyDescent="0.25">
      <c r="A40" s="1" t="str">
        <f t="shared" si="0"/>
        <v>39-SCHWEPPES CITRUS LATA 350ML</v>
      </c>
      <c r="B40" s="1">
        <v>39</v>
      </c>
      <c r="C40" s="1" t="s">
        <v>104</v>
      </c>
      <c r="D40" s="1" t="s">
        <v>85</v>
      </c>
    </row>
    <row r="41" spans="1:4" x14ac:dyDescent="0.25">
      <c r="A41" s="1" t="str">
        <f t="shared" si="0"/>
        <v>40-SPRITE LATA 350ML</v>
      </c>
      <c r="B41" s="1">
        <v>40</v>
      </c>
      <c r="C41" s="1" t="s">
        <v>105</v>
      </c>
      <c r="D41" s="1" t="s">
        <v>85</v>
      </c>
    </row>
    <row r="42" spans="1:4" x14ac:dyDescent="0.25">
      <c r="A42" s="1" t="str">
        <f t="shared" si="0"/>
        <v>41-SUKITA 2L</v>
      </c>
      <c r="B42" s="1">
        <v>41</v>
      </c>
      <c r="C42" s="1" t="s">
        <v>106</v>
      </c>
      <c r="D42" s="1" t="s">
        <v>85</v>
      </c>
    </row>
    <row r="43" spans="1:4" x14ac:dyDescent="0.25">
      <c r="A43" s="1" t="str">
        <f t="shared" si="0"/>
        <v>42-AQUARIUS FRESH</v>
      </c>
      <c r="B43" s="1">
        <v>42</v>
      </c>
      <c r="C43" s="1" t="s">
        <v>107</v>
      </c>
      <c r="D43" s="1" t="s">
        <v>85</v>
      </c>
    </row>
    <row r="44" spans="1:4" x14ac:dyDescent="0.25">
      <c r="A44" s="1" t="str">
        <f t="shared" si="0"/>
        <v>43-H2O</v>
      </c>
      <c r="B44" s="1">
        <v>43</v>
      </c>
      <c r="C44" s="1" t="s">
        <v>108</v>
      </c>
      <c r="D44" s="1" t="s">
        <v>85</v>
      </c>
    </row>
    <row r="45" spans="1:4" x14ac:dyDescent="0.25">
      <c r="A45" s="1" t="str">
        <f t="shared" si="0"/>
        <v>44-ENERG MONSTER LATA 269ML</v>
      </c>
      <c r="B45" s="1">
        <v>44</v>
      </c>
      <c r="C45" s="1" t="s">
        <v>109</v>
      </c>
      <c r="D45" s="1" t="s">
        <v>110</v>
      </c>
    </row>
    <row r="46" spans="1:4" x14ac:dyDescent="0.25">
      <c r="A46" s="1" t="str">
        <f t="shared" si="0"/>
        <v>45-ENERG RED BULL LATA 269ML</v>
      </c>
      <c r="B46" s="1">
        <v>45</v>
      </c>
      <c r="C46" s="1" t="s">
        <v>111</v>
      </c>
      <c r="D46" s="1" t="s">
        <v>110</v>
      </c>
    </row>
    <row r="47" spans="1:4" x14ac:dyDescent="0.25">
      <c r="A47" s="1" t="str">
        <f t="shared" si="0"/>
        <v>46-AMSTEL 600ML</v>
      </c>
      <c r="B47" s="1">
        <v>46</v>
      </c>
      <c r="C47" s="1" t="s">
        <v>112</v>
      </c>
      <c r="D47" s="1" t="s">
        <v>113</v>
      </c>
    </row>
    <row r="48" spans="1:4" x14ac:dyDescent="0.25">
      <c r="A48" s="1" t="str">
        <f t="shared" si="0"/>
        <v>47-ANTARCTICA ORIGINAL 600ML</v>
      </c>
      <c r="B48" s="1">
        <v>47</v>
      </c>
      <c r="C48" s="1" t="s">
        <v>114</v>
      </c>
      <c r="D48" s="1" t="s">
        <v>113</v>
      </c>
    </row>
    <row r="49" spans="1:4" x14ac:dyDescent="0.25">
      <c r="A49" s="1" t="str">
        <f t="shared" si="0"/>
        <v>48-BRAHMA CHOPP 600ML</v>
      </c>
      <c r="B49" s="1">
        <v>48</v>
      </c>
      <c r="C49" s="1" t="s">
        <v>115</v>
      </c>
      <c r="D49" s="1" t="s">
        <v>113</v>
      </c>
    </row>
    <row r="50" spans="1:4" x14ac:dyDescent="0.25">
      <c r="A50" s="1" t="str">
        <f t="shared" si="0"/>
        <v>49-BRAHMA DUPLO MALTE 600ML</v>
      </c>
      <c r="B50" s="1">
        <v>49</v>
      </c>
      <c r="C50" s="1" t="s">
        <v>116</v>
      </c>
      <c r="D50" s="1" t="s">
        <v>113</v>
      </c>
    </row>
    <row r="51" spans="1:4" x14ac:dyDescent="0.25">
      <c r="A51" s="1" t="str">
        <f t="shared" si="0"/>
        <v>50-BOHEMIA 600ML</v>
      </c>
      <c r="B51" s="1">
        <v>50</v>
      </c>
      <c r="C51" s="1" t="s">
        <v>117</v>
      </c>
      <c r="D51" s="1" t="s">
        <v>113</v>
      </c>
    </row>
    <row r="52" spans="1:4" x14ac:dyDescent="0.25">
      <c r="A52" s="1" t="str">
        <f t="shared" si="0"/>
        <v>51-BUDWEISER 600ML</v>
      </c>
      <c r="B52" s="1">
        <v>51</v>
      </c>
      <c r="C52" s="1" t="s">
        <v>118</v>
      </c>
      <c r="D52" s="1" t="s">
        <v>113</v>
      </c>
    </row>
    <row r="53" spans="1:4" x14ac:dyDescent="0.25">
      <c r="A53" s="1" t="str">
        <f t="shared" si="0"/>
        <v>52-EISENBAHN 600ML</v>
      </c>
      <c r="B53" s="1">
        <v>52</v>
      </c>
      <c r="C53" s="1" t="s">
        <v>119</v>
      </c>
      <c r="D53" s="1" t="s">
        <v>113</v>
      </c>
    </row>
    <row r="54" spans="1:4" x14ac:dyDescent="0.25">
      <c r="A54" s="1" t="str">
        <f t="shared" si="0"/>
        <v>53-HEINEKEN 600ML</v>
      </c>
      <c r="B54" s="1">
        <v>53</v>
      </c>
      <c r="C54" s="1" t="s">
        <v>120</v>
      </c>
      <c r="D54" s="1" t="s">
        <v>113</v>
      </c>
    </row>
    <row r="55" spans="1:4" x14ac:dyDescent="0.25">
      <c r="A55" s="1" t="str">
        <f t="shared" si="0"/>
        <v>54-HEINEKEN LN 330ML</v>
      </c>
      <c r="B55" s="1">
        <v>54</v>
      </c>
      <c r="C55" s="1" t="s">
        <v>121</v>
      </c>
      <c r="D55" s="1" t="s">
        <v>113</v>
      </c>
    </row>
    <row r="56" spans="1:4" x14ac:dyDescent="0.25">
      <c r="A56" s="1" t="str">
        <f t="shared" si="0"/>
        <v>55-HEINEKEN LN ZERO 330ML</v>
      </c>
      <c r="B56" s="1">
        <v>55</v>
      </c>
      <c r="C56" s="1" t="s">
        <v>122</v>
      </c>
      <c r="D56" s="1" t="s">
        <v>123</v>
      </c>
    </row>
    <row r="57" spans="1:4" x14ac:dyDescent="0.25">
      <c r="A57" s="1" t="str">
        <f t="shared" si="0"/>
        <v>56-ITAIPAVA 600ML</v>
      </c>
      <c r="B57" s="1">
        <v>56</v>
      </c>
      <c r="C57" s="1" t="s">
        <v>124</v>
      </c>
      <c r="D57" s="1" t="s">
        <v>113</v>
      </c>
    </row>
    <row r="58" spans="1:4" x14ac:dyDescent="0.25">
      <c r="A58" s="1" t="str">
        <f t="shared" si="0"/>
        <v>57-PETRA 600ML</v>
      </c>
      <c r="B58" s="1">
        <v>57</v>
      </c>
      <c r="C58" s="1" t="s">
        <v>125</v>
      </c>
      <c r="D58" s="1" t="s">
        <v>113</v>
      </c>
    </row>
    <row r="59" spans="1:4" x14ac:dyDescent="0.25">
      <c r="A59" s="1" t="str">
        <f t="shared" si="0"/>
        <v>58-SKOL 600ML</v>
      </c>
      <c r="B59" s="1">
        <v>58</v>
      </c>
      <c r="C59" s="1" t="s">
        <v>126</v>
      </c>
      <c r="D59" s="1" t="s">
        <v>113</v>
      </c>
    </row>
    <row r="60" spans="1:4" x14ac:dyDescent="0.25">
      <c r="A60" s="1" t="str">
        <f t="shared" si="0"/>
        <v>59-SPATEN 600ML</v>
      </c>
      <c r="B60" s="1">
        <v>59</v>
      </c>
      <c r="C60" s="1" t="s">
        <v>127</v>
      </c>
      <c r="D60" s="1" t="s">
        <v>113</v>
      </c>
    </row>
    <row r="61" spans="1:4" x14ac:dyDescent="0.25">
      <c r="A61" s="1" t="str">
        <f t="shared" si="0"/>
        <v>60-CAIPIFRUTA PISCINAO</v>
      </c>
      <c r="B61" s="1">
        <v>60</v>
      </c>
      <c r="C61" s="1" t="s">
        <v>128</v>
      </c>
      <c r="D61" s="1" t="s">
        <v>129</v>
      </c>
    </row>
    <row r="62" spans="1:4" x14ac:dyDescent="0.25">
      <c r="A62" s="1" t="str">
        <f t="shared" si="0"/>
        <v>61-CAIPIRINHA DE ABACAXI</v>
      </c>
      <c r="B62" s="1">
        <v>61</v>
      </c>
      <c r="C62" s="1" t="s">
        <v>130</v>
      </c>
      <c r="D62" s="1" t="s">
        <v>131</v>
      </c>
    </row>
    <row r="63" spans="1:4" x14ac:dyDescent="0.25">
      <c r="A63" s="1" t="str">
        <f t="shared" si="0"/>
        <v>62-CAIPIRINHA DE LIMAO</v>
      </c>
      <c r="B63" s="1">
        <v>62</v>
      </c>
      <c r="C63" s="1" t="s">
        <v>132</v>
      </c>
      <c r="D63" s="1" t="s">
        <v>131</v>
      </c>
    </row>
    <row r="64" spans="1:4" x14ac:dyDescent="0.25">
      <c r="A64" s="1" t="str">
        <f t="shared" si="0"/>
        <v>63-CAIPIRINHA DE MARACUJA</v>
      </c>
      <c r="B64" s="1">
        <v>63</v>
      </c>
      <c r="C64" s="1" t="s">
        <v>133</v>
      </c>
      <c r="D64" s="1" t="s">
        <v>131</v>
      </c>
    </row>
    <row r="65" spans="1:4" x14ac:dyDescent="0.25">
      <c r="A65" s="1" t="str">
        <f t="shared" si="0"/>
        <v>64-CAIPIRINHA DE MORANGO</v>
      </c>
      <c r="B65" s="1">
        <v>64</v>
      </c>
      <c r="C65" s="1" t="s">
        <v>134</v>
      </c>
      <c r="D65" s="1" t="s">
        <v>131</v>
      </c>
    </row>
    <row r="66" spans="1:4" x14ac:dyDescent="0.25">
      <c r="A66" s="1" t="str">
        <f t="shared" si="0"/>
        <v>65-CAIPIVODKA ABACAXI</v>
      </c>
      <c r="B66" s="1">
        <v>65</v>
      </c>
      <c r="C66" s="1" t="s">
        <v>135</v>
      </c>
      <c r="D66" s="1" t="s">
        <v>136</v>
      </c>
    </row>
    <row r="67" spans="1:4" x14ac:dyDescent="0.25">
      <c r="A67" s="1" t="str">
        <f t="shared" ref="A67:A130" si="1">B67&amp;"-"&amp;C67</f>
        <v>66-CAIPIVODKA LIMAO</v>
      </c>
      <c r="B67" s="1">
        <v>66</v>
      </c>
      <c r="C67" s="1" t="s">
        <v>137</v>
      </c>
      <c r="D67" s="1" t="s">
        <v>136</v>
      </c>
    </row>
    <row r="68" spans="1:4" x14ac:dyDescent="0.25">
      <c r="A68" s="1" t="str">
        <f t="shared" si="1"/>
        <v>67-CAIPIVODKA MARACUJA</v>
      </c>
      <c r="B68" s="1">
        <v>67</v>
      </c>
      <c r="C68" s="1" t="s">
        <v>138</v>
      </c>
      <c r="D68" s="1" t="s">
        <v>136</v>
      </c>
    </row>
    <row r="69" spans="1:4" x14ac:dyDescent="0.25">
      <c r="A69" s="1" t="str">
        <f t="shared" si="1"/>
        <v>68-CAIPIVODKA MORANGO</v>
      </c>
      <c r="B69" s="1">
        <v>68</v>
      </c>
      <c r="C69" s="1" t="s">
        <v>139</v>
      </c>
      <c r="D69" s="1" t="s">
        <v>136</v>
      </c>
    </row>
    <row r="70" spans="1:4" x14ac:dyDescent="0.25">
      <c r="A70" s="1" t="str">
        <f t="shared" si="1"/>
        <v>69-CAIPIVODKA MORANGO SMIRNOFF</v>
      </c>
      <c r="B70" s="1">
        <v>69</v>
      </c>
      <c r="C70" s="1" t="s">
        <v>140</v>
      </c>
      <c r="D70" s="1" t="s">
        <v>136</v>
      </c>
    </row>
    <row r="71" spans="1:4" x14ac:dyDescent="0.25">
      <c r="A71" s="1" t="str">
        <f t="shared" si="1"/>
        <v>70-CAIPIVODKA ABSOLUT</v>
      </c>
      <c r="B71" s="1">
        <v>70</v>
      </c>
      <c r="C71" s="1" t="s">
        <v>141</v>
      </c>
      <c r="D71" s="1" t="s">
        <v>136</v>
      </c>
    </row>
    <row r="72" spans="1:4" x14ac:dyDescent="0.25">
      <c r="A72" s="1" t="str">
        <f t="shared" si="1"/>
        <v>71-COQUETEL DE FRUTAS COM ALCOOL</v>
      </c>
      <c r="B72" s="1">
        <v>71</v>
      </c>
      <c r="C72" s="1" t="s">
        <v>142</v>
      </c>
      <c r="D72" s="1" t="s">
        <v>143</v>
      </c>
    </row>
    <row r="73" spans="1:4" x14ac:dyDescent="0.25">
      <c r="A73" s="1" t="str">
        <f t="shared" si="1"/>
        <v>72-COQUETEL DE FRUTAS COM ABSOLUT</v>
      </c>
      <c r="B73" s="1">
        <v>72</v>
      </c>
      <c r="C73" s="1" t="s">
        <v>144</v>
      </c>
      <c r="D73" s="1" t="s">
        <v>143</v>
      </c>
    </row>
    <row r="74" spans="1:4" x14ac:dyDescent="0.25">
      <c r="A74" s="1" t="str">
        <f t="shared" si="1"/>
        <v>73-GIN TONICA</v>
      </c>
      <c r="B74" s="1">
        <v>73</v>
      </c>
      <c r="C74" s="1" t="s">
        <v>145</v>
      </c>
      <c r="D74" s="1" t="s">
        <v>146</v>
      </c>
    </row>
    <row r="75" spans="1:4" x14ac:dyDescent="0.25">
      <c r="A75" s="1" t="str">
        <f t="shared" si="1"/>
        <v>74-LAGOA AZUL</v>
      </c>
      <c r="B75" s="1">
        <v>74</v>
      </c>
      <c r="C75" s="1" t="s">
        <v>147</v>
      </c>
      <c r="D75" s="1" t="s">
        <v>146</v>
      </c>
    </row>
    <row r="76" spans="1:4" x14ac:dyDescent="0.25">
      <c r="A76" s="1" t="str">
        <f t="shared" si="1"/>
        <v>75-MARGARITA</v>
      </c>
      <c r="B76" s="1">
        <v>75</v>
      </c>
      <c r="C76" s="1" t="s">
        <v>148</v>
      </c>
      <c r="D76" s="1" t="s">
        <v>146</v>
      </c>
    </row>
    <row r="77" spans="1:4" x14ac:dyDescent="0.25">
      <c r="A77" s="1" t="str">
        <f t="shared" si="1"/>
        <v>76-PINA COLADA</v>
      </c>
      <c r="B77" s="1">
        <v>76</v>
      </c>
      <c r="C77" s="1" t="s">
        <v>149</v>
      </c>
      <c r="D77" s="1" t="s">
        <v>146</v>
      </c>
    </row>
    <row r="78" spans="1:4" x14ac:dyDescent="0.25">
      <c r="A78" s="1" t="str">
        <f t="shared" si="1"/>
        <v>77-APERITIVO CAMPARI GF</v>
      </c>
      <c r="B78" s="1">
        <v>77</v>
      </c>
      <c r="C78" s="1" t="s">
        <v>150</v>
      </c>
      <c r="D78" s="1" t="s">
        <v>151</v>
      </c>
    </row>
    <row r="79" spans="1:4" x14ac:dyDescent="0.25">
      <c r="A79" s="1" t="str">
        <f t="shared" si="1"/>
        <v>78-DOSE APERITIVO CAMPARI</v>
      </c>
      <c r="B79" s="1">
        <v>78</v>
      </c>
      <c r="C79" s="1" t="s">
        <v>152</v>
      </c>
      <c r="D79" s="1" t="s">
        <v>153</v>
      </c>
    </row>
    <row r="80" spans="1:4" x14ac:dyDescent="0.25">
      <c r="A80" s="1" t="str">
        <f t="shared" si="1"/>
        <v>79-CACHACA 51 OURO GF</v>
      </c>
      <c r="B80" s="1">
        <v>79</v>
      </c>
      <c r="C80" s="1" t="s">
        <v>154</v>
      </c>
      <c r="D80" s="1" t="s">
        <v>155</v>
      </c>
    </row>
    <row r="81" spans="1:4" x14ac:dyDescent="0.25">
      <c r="A81" s="1" t="str">
        <f t="shared" si="1"/>
        <v>80-DOSE CACHACA 51 OURO</v>
      </c>
      <c r="B81" s="1">
        <v>80</v>
      </c>
      <c r="C81" s="1" t="s">
        <v>156</v>
      </c>
      <c r="D81" s="1" t="s">
        <v>157</v>
      </c>
    </row>
    <row r="82" spans="1:4" x14ac:dyDescent="0.25">
      <c r="A82" s="1" t="str">
        <f t="shared" si="1"/>
        <v>81-CACHACA 51 PRATA GF</v>
      </c>
      <c r="B82" s="1">
        <v>81</v>
      </c>
      <c r="C82" s="1" t="s">
        <v>158</v>
      </c>
      <c r="D82" s="1" t="s">
        <v>155</v>
      </c>
    </row>
    <row r="83" spans="1:4" x14ac:dyDescent="0.25">
      <c r="A83" s="1" t="str">
        <f t="shared" si="1"/>
        <v>82-DOSE CACHACA 51 PRATA</v>
      </c>
      <c r="B83" s="1">
        <v>82</v>
      </c>
      <c r="C83" s="1" t="s">
        <v>159</v>
      </c>
      <c r="D83" s="1" t="s">
        <v>157</v>
      </c>
    </row>
    <row r="84" spans="1:4" x14ac:dyDescent="0.25">
      <c r="A84" s="1" t="str">
        <f t="shared" si="1"/>
        <v>83-CACHACA VELHO BARREIRO GF</v>
      </c>
      <c r="B84" s="1">
        <v>83</v>
      </c>
      <c r="C84" s="1" t="s">
        <v>160</v>
      </c>
      <c r="D84" s="1" t="s">
        <v>155</v>
      </c>
    </row>
    <row r="85" spans="1:4" x14ac:dyDescent="0.25">
      <c r="A85" s="1" t="str">
        <f t="shared" si="1"/>
        <v>84-DOSE CACHACA VELHO BARREIRO</v>
      </c>
      <c r="B85" s="1">
        <v>84</v>
      </c>
      <c r="C85" s="1" t="s">
        <v>161</v>
      </c>
      <c r="D85" s="1" t="s">
        <v>157</v>
      </c>
    </row>
    <row r="86" spans="1:4" x14ac:dyDescent="0.25">
      <c r="A86" s="1" t="str">
        <f t="shared" si="1"/>
        <v>85-CACHACA YPIOCA 150 GF</v>
      </c>
      <c r="B86" s="1">
        <v>85</v>
      </c>
      <c r="C86" s="1" t="s">
        <v>162</v>
      </c>
      <c r="D86" s="1" t="s">
        <v>155</v>
      </c>
    </row>
    <row r="87" spans="1:4" x14ac:dyDescent="0.25">
      <c r="A87" s="1" t="str">
        <f t="shared" si="1"/>
        <v>86-DOSE CACHACA YPIOCA 150</v>
      </c>
      <c r="B87" s="1">
        <v>86</v>
      </c>
      <c r="C87" s="1" t="s">
        <v>163</v>
      </c>
      <c r="D87" s="1" t="s">
        <v>157</v>
      </c>
    </row>
    <row r="88" spans="1:4" x14ac:dyDescent="0.25">
      <c r="A88" s="1" t="str">
        <f t="shared" si="1"/>
        <v>87-CACHACA YPIOCA EMPALHADA GF</v>
      </c>
      <c r="B88" s="1">
        <v>87</v>
      </c>
      <c r="C88" s="1" t="s">
        <v>164</v>
      </c>
      <c r="D88" s="1" t="s">
        <v>155</v>
      </c>
    </row>
    <row r="89" spans="1:4" x14ac:dyDescent="0.25">
      <c r="A89" s="1" t="str">
        <f t="shared" si="1"/>
        <v>88-DOSE CACHACA YPIOCA EMPALHADA</v>
      </c>
      <c r="B89" s="1">
        <v>88</v>
      </c>
      <c r="C89" s="1" t="s">
        <v>165</v>
      </c>
      <c r="D89" s="1" t="s">
        <v>157</v>
      </c>
    </row>
    <row r="90" spans="1:4" x14ac:dyDescent="0.25">
      <c r="A90" s="1" t="str">
        <f t="shared" si="1"/>
        <v>89-CACHACA YPIOCA OURO GF</v>
      </c>
      <c r="B90" s="1">
        <v>89</v>
      </c>
      <c r="C90" s="1" t="s">
        <v>166</v>
      </c>
      <c r="D90" s="1" t="s">
        <v>155</v>
      </c>
    </row>
    <row r="91" spans="1:4" x14ac:dyDescent="0.25">
      <c r="A91" s="1" t="str">
        <f t="shared" si="1"/>
        <v>90-DOSE CACHACA YPIOCA OURO</v>
      </c>
      <c r="B91" s="1">
        <v>90</v>
      </c>
      <c r="C91" s="1" t="s">
        <v>167</v>
      </c>
      <c r="D91" s="1" t="s">
        <v>157</v>
      </c>
    </row>
    <row r="92" spans="1:4" x14ac:dyDescent="0.25">
      <c r="A92" s="1" t="str">
        <f t="shared" si="1"/>
        <v>91-CACHACA YPIOCA PRATA GF</v>
      </c>
      <c r="B92" s="1">
        <v>91</v>
      </c>
      <c r="C92" s="1" t="s">
        <v>168</v>
      </c>
      <c r="D92" s="1" t="s">
        <v>155</v>
      </c>
    </row>
    <row r="93" spans="1:4" x14ac:dyDescent="0.25">
      <c r="A93" s="1" t="str">
        <f t="shared" si="1"/>
        <v>92-DOSE CACHACA YPIOCA PRATA</v>
      </c>
      <c r="B93" s="1">
        <v>92</v>
      </c>
      <c r="C93" s="1" t="s">
        <v>169</v>
      </c>
      <c r="D93" s="1" t="s">
        <v>157</v>
      </c>
    </row>
    <row r="94" spans="1:4" x14ac:dyDescent="0.25">
      <c r="A94" s="1" t="str">
        <f t="shared" si="1"/>
        <v>93-CONHAQUE DREHER GF</v>
      </c>
      <c r="B94" s="1">
        <v>93</v>
      </c>
      <c r="C94" s="1" t="s">
        <v>170</v>
      </c>
      <c r="D94" s="1" t="s">
        <v>171</v>
      </c>
    </row>
    <row r="95" spans="1:4" x14ac:dyDescent="0.25">
      <c r="A95" s="1" t="str">
        <f t="shared" si="1"/>
        <v>94-DOSE CONHAQUE DREHER</v>
      </c>
      <c r="B95" s="1">
        <v>94</v>
      </c>
      <c r="C95" s="1" t="s">
        <v>172</v>
      </c>
      <c r="D95" s="1" t="s">
        <v>173</v>
      </c>
    </row>
    <row r="96" spans="1:4" x14ac:dyDescent="0.25">
      <c r="A96" s="1" t="str">
        <f t="shared" si="1"/>
        <v>95-GIN TANQUERAY GF</v>
      </c>
      <c r="B96" s="1">
        <v>95</v>
      </c>
      <c r="C96" s="1" t="s">
        <v>174</v>
      </c>
      <c r="D96" s="1" t="s">
        <v>175</v>
      </c>
    </row>
    <row r="97" spans="1:4" x14ac:dyDescent="0.25">
      <c r="A97" s="1" t="str">
        <f t="shared" si="1"/>
        <v>96-DOSE GIN TANQUERAY</v>
      </c>
      <c r="B97" s="1">
        <v>96</v>
      </c>
      <c r="C97" s="1" t="s">
        <v>176</v>
      </c>
      <c r="D97" s="1" t="s">
        <v>177</v>
      </c>
    </row>
    <row r="98" spans="1:4" x14ac:dyDescent="0.25">
      <c r="A98" s="1" t="str">
        <f t="shared" si="1"/>
        <v>97-LICOR 43 GF</v>
      </c>
      <c r="B98" s="1">
        <v>97</v>
      </c>
      <c r="C98" s="1" t="s">
        <v>178</v>
      </c>
      <c r="D98" s="1" t="s">
        <v>179</v>
      </c>
    </row>
    <row r="99" spans="1:4" x14ac:dyDescent="0.25">
      <c r="A99" s="1" t="str">
        <f t="shared" si="1"/>
        <v>98-DOSE LICOR 43</v>
      </c>
      <c r="B99" s="1">
        <v>98</v>
      </c>
      <c r="C99" s="1" t="s">
        <v>180</v>
      </c>
      <c r="D99" s="1" t="s">
        <v>181</v>
      </c>
    </row>
    <row r="100" spans="1:4" x14ac:dyDescent="0.25">
      <c r="A100" s="1" t="str">
        <f t="shared" si="1"/>
        <v>99-LICOR COINTREAU GF</v>
      </c>
      <c r="B100" s="1">
        <v>99</v>
      </c>
      <c r="C100" s="1" t="s">
        <v>182</v>
      </c>
      <c r="D100" s="1" t="s">
        <v>179</v>
      </c>
    </row>
    <row r="101" spans="1:4" x14ac:dyDescent="0.25">
      <c r="A101" s="1" t="str">
        <f t="shared" si="1"/>
        <v>100-DOSE LICOR COINTREAU</v>
      </c>
      <c r="B101" s="1">
        <v>100</v>
      </c>
      <c r="C101" s="1" t="s">
        <v>183</v>
      </c>
      <c r="D101" s="1" t="s">
        <v>181</v>
      </c>
    </row>
    <row r="102" spans="1:4" x14ac:dyDescent="0.25">
      <c r="A102" s="1" t="str">
        <f t="shared" si="1"/>
        <v>101-LICOR FOGO PAULISTA GF</v>
      </c>
      <c r="B102" s="1">
        <v>101</v>
      </c>
      <c r="C102" s="1" t="s">
        <v>184</v>
      </c>
      <c r="D102" s="1" t="s">
        <v>179</v>
      </c>
    </row>
    <row r="103" spans="1:4" x14ac:dyDescent="0.25">
      <c r="A103" s="1" t="str">
        <f t="shared" si="1"/>
        <v>102-DOSE LICOR FOGO PAULISTA</v>
      </c>
      <c r="B103" s="1">
        <v>102</v>
      </c>
      <c r="C103" s="1" t="s">
        <v>185</v>
      </c>
      <c r="D103" s="1" t="s">
        <v>181</v>
      </c>
    </row>
    <row r="104" spans="1:4" x14ac:dyDescent="0.25">
      <c r="A104" s="1" t="str">
        <f t="shared" si="1"/>
        <v>103-RUM MALIBU GF</v>
      </c>
      <c r="B104" s="1">
        <v>103</v>
      </c>
      <c r="C104" s="1" t="s">
        <v>186</v>
      </c>
      <c r="D104" s="1" t="s">
        <v>187</v>
      </c>
    </row>
    <row r="105" spans="1:4" x14ac:dyDescent="0.25">
      <c r="A105" s="1" t="str">
        <f t="shared" si="1"/>
        <v>104-DOSE RUM MALIBU</v>
      </c>
      <c r="B105" s="1">
        <v>104</v>
      </c>
      <c r="C105" s="1" t="s">
        <v>188</v>
      </c>
      <c r="D105" s="1" t="s">
        <v>189</v>
      </c>
    </row>
    <row r="106" spans="1:4" x14ac:dyDescent="0.25">
      <c r="A106" s="1" t="str">
        <f t="shared" si="1"/>
        <v>105-RUM MONTILA OURO GF</v>
      </c>
      <c r="B106" s="1">
        <v>105</v>
      </c>
      <c r="C106" s="1" t="s">
        <v>190</v>
      </c>
      <c r="D106" s="1" t="s">
        <v>187</v>
      </c>
    </row>
    <row r="107" spans="1:4" x14ac:dyDescent="0.25">
      <c r="A107" s="1" t="str">
        <f t="shared" si="1"/>
        <v>106-DOSE RUM MONTILA OURO</v>
      </c>
      <c r="B107" s="1">
        <v>106</v>
      </c>
      <c r="C107" s="1" t="s">
        <v>191</v>
      </c>
      <c r="D107" s="1" t="s">
        <v>189</v>
      </c>
    </row>
    <row r="108" spans="1:4" x14ac:dyDescent="0.25">
      <c r="A108" s="1" t="str">
        <f t="shared" si="1"/>
        <v>107-RUM MONTILA PRATA GF</v>
      </c>
      <c r="B108" s="1">
        <v>107</v>
      </c>
      <c r="C108" s="1" t="s">
        <v>192</v>
      </c>
      <c r="D108" s="1" t="s">
        <v>187</v>
      </c>
    </row>
    <row r="109" spans="1:4" x14ac:dyDescent="0.25">
      <c r="A109" s="1" t="str">
        <f t="shared" si="1"/>
        <v>108-DOSE RUM MONTILA PRATA</v>
      </c>
      <c r="B109" s="1">
        <v>108</v>
      </c>
      <c r="C109" s="1" t="s">
        <v>193</v>
      </c>
      <c r="D109" s="1" t="s">
        <v>189</v>
      </c>
    </row>
    <row r="110" spans="1:4" x14ac:dyDescent="0.25">
      <c r="A110" s="1" t="str">
        <f t="shared" si="1"/>
        <v>109-TEQUILA JOSE CUERVO OURO GF</v>
      </c>
      <c r="B110" s="1">
        <v>109</v>
      </c>
      <c r="C110" s="1" t="s">
        <v>194</v>
      </c>
      <c r="D110" s="1" t="s">
        <v>195</v>
      </c>
    </row>
    <row r="111" spans="1:4" x14ac:dyDescent="0.25">
      <c r="A111" s="1" t="str">
        <f t="shared" si="1"/>
        <v>110-DOSE TEQUILA JOSE CUERVO OURO</v>
      </c>
      <c r="B111" s="1">
        <v>110</v>
      </c>
      <c r="C111" s="1" t="s">
        <v>196</v>
      </c>
      <c r="D111" s="1" t="s">
        <v>197</v>
      </c>
    </row>
    <row r="112" spans="1:4" x14ac:dyDescent="0.25">
      <c r="A112" s="1" t="str">
        <f t="shared" si="1"/>
        <v>111-TEQUILA JOSE CUERVO PRATA GF</v>
      </c>
      <c r="B112" s="1">
        <v>111</v>
      </c>
      <c r="C112" s="1" t="s">
        <v>198</v>
      </c>
      <c r="D112" s="1" t="s">
        <v>195</v>
      </c>
    </row>
    <row r="113" spans="1:4" x14ac:dyDescent="0.25">
      <c r="A113" s="1" t="str">
        <f t="shared" si="1"/>
        <v>112-DOSE TEQUILA JOSE CUERVO PRATA</v>
      </c>
      <c r="B113" s="1">
        <v>112</v>
      </c>
      <c r="C113" s="1" t="s">
        <v>199</v>
      </c>
      <c r="D113" s="1" t="s">
        <v>197</v>
      </c>
    </row>
    <row r="114" spans="1:4" x14ac:dyDescent="0.25">
      <c r="A114" s="1" t="str">
        <f t="shared" si="1"/>
        <v>113-TEQUILA SAUZA GF</v>
      </c>
      <c r="B114" s="1">
        <v>113</v>
      </c>
      <c r="C114" s="1" t="s">
        <v>200</v>
      </c>
      <c r="D114" s="1" t="s">
        <v>195</v>
      </c>
    </row>
    <row r="115" spans="1:4" x14ac:dyDescent="0.25">
      <c r="A115" s="1" t="str">
        <f t="shared" si="1"/>
        <v>114-DOSE TEQUILA SAUZA</v>
      </c>
      <c r="B115" s="1">
        <v>114</v>
      </c>
      <c r="C115" s="1" t="s">
        <v>201</v>
      </c>
      <c r="D115" s="1" t="s">
        <v>197</v>
      </c>
    </row>
    <row r="116" spans="1:4" x14ac:dyDescent="0.25">
      <c r="A116" s="1" t="str">
        <f t="shared" si="1"/>
        <v>115-TEQUILA TEQUILOKA GF</v>
      </c>
      <c r="B116" s="1">
        <v>115</v>
      </c>
      <c r="C116" s="1" t="s">
        <v>202</v>
      </c>
      <c r="D116" s="1" t="s">
        <v>195</v>
      </c>
    </row>
    <row r="117" spans="1:4" x14ac:dyDescent="0.25">
      <c r="A117" s="1" t="str">
        <f t="shared" si="1"/>
        <v>116-DOSE TEQUILA TEQUILOKA</v>
      </c>
      <c r="B117" s="1">
        <v>116</v>
      </c>
      <c r="C117" s="1" t="s">
        <v>203</v>
      </c>
      <c r="D117" s="1" t="s">
        <v>197</v>
      </c>
    </row>
    <row r="118" spans="1:4" x14ac:dyDescent="0.25">
      <c r="A118" s="1" t="str">
        <f t="shared" si="1"/>
        <v>117-VODKA ABSOLUT GF</v>
      </c>
      <c r="B118" s="1">
        <v>117</v>
      </c>
      <c r="C118" s="1" t="s">
        <v>204</v>
      </c>
      <c r="D118" s="1" t="s">
        <v>205</v>
      </c>
    </row>
    <row r="119" spans="1:4" x14ac:dyDescent="0.25">
      <c r="A119" s="1" t="str">
        <f t="shared" si="1"/>
        <v>118-DOSE VODKA ABSOLUT</v>
      </c>
      <c r="B119" s="1">
        <v>118</v>
      </c>
      <c r="C119" s="1" t="s">
        <v>206</v>
      </c>
      <c r="D119" s="1" t="s">
        <v>207</v>
      </c>
    </row>
    <row r="120" spans="1:4" x14ac:dyDescent="0.25">
      <c r="A120" s="1" t="str">
        <f t="shared" si="1"/>
        <v>119-VODKA CIROC GF</v>
      </c>
      <c r="B120" s="1">
        <v>119</v>
      </c>
      <c r="C120" s="1" t="s">
        <v>208</v>
      </c>
      <c r="D120" s="1" t="s">
        <v>205</v>
      </c>
    </row>
    <row r="121" spans="1:4" x14ac:dyDescent="0.25">
      <c r="A121" s="1" t="str">
        <f t="shared" si="1"/>
        <v>120-DOSE VODKA CIROC</v>
      </c>
      <c r="B121" s="1">
        <v>120</v>
      </c>
      <c r="C121" s="1" t="s">
        <v>209</v>
      </c>
      <c r="D121" s="1" t="s">
        <v>207</v>
      </c>
    </row>
    <row r="122" spans="1:4" x14ac:dyDescent="0.25">
      <c r="A122" s="1" t="str">
        <f t="shared" si="1"/>
        <v>121-VODKA ORLOFF GF</v>
      </c>
      <c r="B122" s="1">
        <v>121</v>
      </c>
      <c r="C122" s="1" t="s">
        <v>210</v>
      </c>
      <c r="D122" s="1" t="s">
        <v>205</v>
      </c>
    </row>
    <row r="123" spans="1:4" x14ac:dyDescent="0.25">
      <c r="A123" s="1" t="str">
        <f t="shared" si="1"/>
        <v>122-DOSE VODKA ORLOFF</v>
      </c>
      <c r="B123" s="1">
        <v>122</v>
      </c>
      <c r="C123" s="1" t="s">
        <v>211</v>
      </c>
      <c r="D123" s="1" t="s">
        <v>207</v>
      </c>
    </row>
    <row r="124" spans="1:4" x14ac:dyDescent="0.25">
      <c r="A124" s="1" t="str">
        <f t="shared" si="1"/>
        <v>123-VODKA SKYY GF</v>
      </c>
      <c r="B124" s="1">
        <v>123</v>
      </c>
      <c r="C124" s="1" t="s">
        <v>212</v>
      </c>
      <c r="D124" s="1" t="s">
        <v>205</v>
      </c>
    </row>
    <row r="125" spans="1:4" x14ac:dyDescent="0.25">
      <c r="A125" s="1" t="str">
        <f t="shared" si="1"/>
        <v>124-DOSE VODKA SKYY</v>
      </c>
      <c r="B125" s="1">
        <v>124</v>
      </c>
      <c r="C125" s="1" t="s">
        <v>213</v>
      </c>
      <c r="D125" s="1" t="s">
        <v>207</v>
      </c>
    </row>
    <row r="126" spans="1:4" x14ac:dyDescent="0.25">
      <c r="A126" s="1" t="str">
        <f t="shared" si="1"/>
        <v>125-VODKA SLOVA GF</v>
      </c>
      <c r="B126" s="1">
        <v>125</v>
      </c>
      <c r="C126" s="1" t="s">
        <v>214</v>
      </c>
      <c r="D126" s="1" t="s">
        <v>205</v>
      </c>
    </row>
    <row r="127" spans="1:4" x14ac:dyDescent="0.25">
      <c r="A127" s="1" t="str">
        <f t="shared" si="1"/>
        <v>126-DOSE VODKA SLOVA</v>
      </c>
      <c r="B127" s="1">
        <v>126</v>
      </c>
      <c r="C127" s="1" t="s">
        <v>215</v>
      </c>
      <c r="D127" s="1" t="s">
        <v>207</v>
      </c>
    </row>
    <row r="128" spans="1:4" x14ac:dyDescent="0.25">
      <c r="A128" s="1" t="str">
        <f t="shared" si="1"/>
        <v>127-VODKA SMIRNOFF GF</v>
      </c>
      <c r="B128" s="1">
        <v>127</v>
      </c>
      <c r="C128" s="1" t="s">
        <v>216</v>
      </c>
      <c r="D128" s="1" t="s">
        <v>205</v>
      </c>
    </row>
    <row r="129" spans="1:4" x14ac:dyDescent="0.25">
      <c r="A129" s="1" t="str">
        <f t="shared" si="1"/>
        <v>128-DOSE VODKA SMIRNOFF</v>
      </c>
      <c r="B129" s="1">
        <v>128</v>
      </c>
      <c r="C129" s="1" t="s">
        <v>217</v>
      </c>
      <c r="D129" s="1" t="s">
        <v>207</v>
      </c>
    </row>
    <row r="130" spans="1:4" x14ac:dyDescent="0.25">
      <c r="A130" s="1" t="str">
        <f t="shared" si="1"/>
        <v>129-WHISKY BALLANTINES 12A GF</v>
      </c>
      <c r="B130" s="1">
        <v>129</v>
      </c>
      <c r="C130" s="1" t="s">
        <v>218</v>
      </c>
      <c r="D130" s="1" t="s">
        <v>219</v>
      </c>
    </row>
    <row r="131" spans="1:4" x14ac:dyDescent="0.25">
      <c r="A131" s="1" t="str">
        <f t="shared" ref="A131:A194" si="2">B131&amp;"-"&amp;C131</f>
        <v>130-DOSE WHISKY BALLANTINES 12A</v>
      </c>
      <c r="B131" s="1">
        <v>130</v>
      </c>
      <c r="C131" s="1" t="s">
        <v>220</v>
      </c>
      <c r="D131" s="1" t="s">
        <v>221</v>
      </c>
    </row>
    <row r="132" spans="1:4" x14ac:dyDescent="0.25">
      <c r="A132" s="1" t="str">
        <f t="shared" si="2"/>
        <v>131-WHISKY BALLANTINES 8A GF</v>
      </c>
      <c r="B132" s="1">
        <v>131</v>
      </c>
      <c r="C132" s="1" t="s">
        <v>222</v>
      </c>
      <c r="D132" s="1" t="s">
        <v>219</v>
      </c>
    </row>
    <row r="133" spans="1:4" x14ac:dyDescent="0.25">
      <c r="A133" s="1" t="str">
        <f t="shared" si="2"/>
        <v>132-DOSE WHISKY BALLANTINES 8A</v>
      </c>
      <c r="B133" s="1">
        <v>132</v>
      </c>
      <c r="C133" s="1" t="s">
        <v>223</v>
      </c>
      <c r="D133" s="1" t="s">
        <v>221</v>
      </c>
    </row>
    <row r="134" spans="1:4" x14ac:dyDescent="0.25">
      <c r="A134" s="1" t="str">
        <f t="shared" si="2"/>
        <v>133-WHISKY BLACK WHITE GF</v>
      </c>
      <c r="B134" s="1">
        <v>133</v>
      </c>
      <c r="C134" s="1" t="s">
        <v>224</v>
      </c>
      <c r="D134" s="1" t="s">
        <v>219</v>
      </c>
    </row>
    <row r="135" spans="1:4" x14ac:dyDescent="0.25">
      <c r="A135" s="1" t="str">
        <f t="shared" si="2"/>
        <v>134-DOSE WHISKY BLACK WHITE</v>
      </c>
      <c r="B135" s="1">
        <v>134</v>
      </c>
      <c r="C135" s="1" t="s">
        <v>225</v>
      </c>
      <c r="D135" s="1" t="s">
        <v>221</v>
      </c>
    </row>
    <row r="136" spans="1:4" x14ac:dyDescent="0.25">
      <c r="A136" s="1" t="str">
        <f t="shared" si="2"/>
        <v>135-WHISKY BLACK LABEL GF</v>
      </c>
      <c r="B136" s="1">
        <v>135</v>
      </c>
      <c r="C136" s="1" t="s">
        <v>226</v>
      </c>
      <c r="D136" s="1" t="s">
        <v>219</v>
      </c>
    </row>
    <row r="137" spans="1:4" x14ac:dyDescent="0.25">
      <c r="A137" s="1" t="str">
        <f t="shared" si="2"/>
        <v>136-DOSE WHISKY BLACK LABEL</v>
      </c>
      <c r="B137" s="1">
        <v>136</v>
      </c>
      <c r="C137" s="1" t="s">
        <v>227</v>
      </c>
      <c r="D137" s="1" t="s">
        <v>221</v>
      </c>
    </row>
    <row r="138" spans="1:4" x14ac:dyDescent="0.25">
      <c r="A138" s="1" t="str">
        <f t="shared" si="2"/>
        <v>137-WHISKY BUCHANAS DELUXE GF</v>
      </c>
      <c r="B138" s="1">
        <v>137</v>
      </c>
      <c r="C138" s="1" t="s">
        <v>228</v>
      </c>
      <c r="D138" s="1" t="s">
        <v>219</v>
      </c>
    </row>
    <row r="139" spans="1:4" x14ac:dyDescent="0.25">
      <c r="A139" s="1" t="str">
        <f t="shared" si="2"/>
        <v>138-DOSE WHISKY BUCHANAS DELUXE</v>
      </c>
      <c r="B139" s="1">
        <v>138</v>
      </c>
      <c r="C139" s="1" t="s">
        <v>229</v>
      </c>
      <c r="D139" s="1" t="s">
        <v>221</v>
      </c>
    </row>
    <row r="140" spans="1:4" x14ac:dyDescent="0.25">
      <c r="A140" s="1" t="str">
        <f t="shared" si="2"/>
        <v>139-WHISKY CHIVAS REGAL GF</v>
      </c>
      <c r="B140" s="1">
        <v>139</v>
      </c>
      <c r="C140" s="1" t="s">
        <v>230</v>
      </c>
      <c r="D140" s="1" t="s">
        <v>219</v>
      </c>
    </row>
    <row r="141" spans="1:4" x14ac:dyDescent="0.25">
      <c r="A141" s="1" t="str">
        <f t="shared" si="2"/>
        <v>140-DOSE WHISKY CHIVAS REGAL</v>
      </c>
      <c r="B141" s="1">
        <v>140</v>
      </c>
      <c r="C141" s="1" t="s">
        <v>231</v>
      </c>
      <c r="D141" s="1" t="s">
        <v>221</v>
      </c>
    </row>
    <row r="142" spans="1:4" x14ac:dyDescent="0.25">
      <c r="A142" s="1" t="str">
        <f t="shared" si="2"/>
        <v>141-WHISKY JACK DANIELS GF</v>
      </c>
      <c r="B142" s="1">
        <v>141</v>
      </c>
      <c r="C142" s="1" t="s">
        <v>232</v>
      </c>
      <c r="D142" s="1" t="s">
        <v>219</v>
      </c>
    </row>
    <row r="143" spans="1:4" x14ac:dyDescent="0.25">
      <c r="A143" s="1" t="str">
        <f t="shared" si="2"/>
        <v>142-DOSE WHISKY JACK DANIELS</v>
      </c>
      <c r="B143" s="1">
        <v>142</v>
      </c>
      <c r="C143" s="1" t="s">
        <v>233</v>
      </c>
      <c r="D143" s="1" t="s">
        <v>221</v>
      </c>
    </row>
    <row r="144" spans="1:4" x14ac:dyDescent="0.25">
      <c r="A144" s="1" t="str">
        <f t="shared" si="2"/>
        <v>143-WHISKY OLD PARR GF</v>
      </c>
      <c r="B144" s="1">
        <v>143</v>
      </c>
      <c r="C144" s="1" t="s">
        <v>234</v>
      </c>
      <c r="D144" s="1" t="s">
        <v>219</v>
      </c>
    </row>
    <row r="145" spans="1:4" x14ac:dyDescent="0.25">
      <c r="A145" s="1" t="str">
        <f t="shared" si="2"/>
        <v>144-DOSE WHISKY OLD PARR</v>
      </c>
      <c r="B145" s="1">
        <v>144</v>
      </c>
      <c r="C145" s="1" t="s">
        <v>235</v>
      </c>
      <c r="D145" s="1" t="s">
        <v>221</v>
      </c>
    </row>
    <row r="146" spans="1:4" x14ac:dyDescent="0.25">
      <c r="A146" s="1" t="str">
        <f t="shared" si="2"/>
        <v>145-WHISKY RED LABEL GF</v>
      </c>
      <c r="B146" s="1">
        <v>145</v>
      </c>
      <c r="C146" s="1" t="s">
        <v>236</v>
      </c>
      <c r="D146" s="1" t="s">
        <v>219</v>
      </c>
    </row>
    <row r="147" spans="1:4" x14ac:dyDescent="0.25">
      <c r="A147" s="1" t="str">
        <f t="shared" si="2"/>
        <v>146-DOSE WHISKY RED LABEL</v>
      </c>
      <c r="B147" s="1">
        <v>146</v>
      </c>
      <c r="C147" s="1" t="s">
        <v>237</v>
      </c>
      <c r="D147" s="1" t="s">
        <v>221</v>
      </c>
    </row>
    <row r="148" spans="1:4" x14ac:dyDescent="0.25">
      <c r="A148" s="1" t="str">
        <f t="shared" si="2"/>
        <v>147-WHISKY TEACHERS GF</v>
      </c>
      <c r="B148" s="1">
        <v>147</v>
      </c>
      <c r="C148" s="1" t="s">
        <v>238</v>
      </c>
      <c r="D148" s="1" t="s">
        <v>219</v>
      </c>
    </row>
    <row r="149" spans="1:4" x14ac:dyDescent="0.25">
      <c r="A149" s="1" t="str">
        <f t="shared" si="2"/>
        <v>148-DOSE WHISKY TEACHERS</v>
      </c>
      <c r="B149" s="1">
        <v>148</v>
      </c>
      <c r="C149" s="1" t="s">
        <v>239</v>
      </c>
      <c r="D149" s="1" t="s">
        <v>221</v>
      </c>
    </row>
    <row r="150" spans="1:4" x14ac:dyDescent="0.25">
      <c r="A150" s="1" t="str">
        <f t="shared" si="2"/>
        <v>149-WHISKY WHITE HORSE GF</v>
      </c>
      <c r="B150" s="1">
        <v>149</v>
      </c>
      <c r="C150" s="1" t="s">
        <v>240</v>
      </c>
      <c r="D150" s="1" t="s">
        <v>219</v>
      </c>
    </row>
    <row r="151" spans="1:4" x14ac:dyDescent="0.25">
      <c r="A151" s="1" t="str">
        <f t="shared" si="2"/>
        <v>150-DOSE WHISKY WHITE HORSE</v>
      </c>
      <c r="B151" s="1">
        <v>150</v>
      </c>
      <c r="C151" s="1" t="s">
        <v>241</v>
      </c>
      <c r="D151" s="1" t="s">
        <v>221</v>
      </c>
    </row>
    <row r="152" spans="1:4" x14ac:dyDescent="0.25">
      <c r="A152" s="1" t="str">
        <f t="shared" si="2"/>
        <v>151-VINHO CASAL GARCIA GF</v>
      </c>
      <c r="B152" s="1">
        <v>151</v>
      </c>
      <c r="C152" s="1" t="s">
        <v>242</v>
      </c>
      <c r="D152" s="1" t="s">
        <v>243</v>
      </c>
    </row>
    <row r="153" spans="1:4" x14ac:dyDescent="0.25">
      <c r="A153" s="1" t="str">
        <f t="shared" si="2"/>
        <v>152-VINHO CASILEIRO DEL DIABLO GF</v>
      </c>
      <c r="B153" s="1">
        <v>152</v>
      </c>
      <c r="C153" s="1" t="s">
        <v>244</v>
      </c>
      <c r="D153" s="1" t="s">
        <v>243</v>
      </c>
    </row>
    <row r="154" spans="1:4" x14ac:dyDescent="0.25">
      <c r="A154" s="1" t="str">
        <f t="shared" si="2"/>
        <v>153-VINHO O GAUCHO SECO GF</v>
      </c>
      <c r="B154" s="1">
        <v>153</v>
      </c>
      <c r="C154" s="1" t="s">
        <v>245</v>
      </c>
      <c r="D154" s="1" t="s">
        <v>243</v>
      </c>
    </row>
    <row r="155" spans="1:4" x14ac:dyDescent="0.25">
      <c r="A155" s="1" t="str">
        <f t="shared" si="2"/>
        <v>154-TACA VINHO O GAUCHO SECO</v>
      </c>
      <c r="B155" s="1">
        <v>154</v>
      </c>
      <c r="C155" s="1" t="s">
        <v>246</v>
      </c>
      <c r="D155" s="1" t="s">
        <v>247</v>
      </c>
    </row>
    <row r="156" spans="1:4" x14ac:dyDescent="0.25">
      <c r="A156" s="1" t="str">
        <f t="shared" si="2"/>
        <v>155-VINHO O GAUCHO SUAVE GF</v>
      </c>
      <c r="B156" s="1">
        <v>155</v>
      </c>
      <c r="C156" s="1" t="s">
        <v>248</v>
      </c>
      <c r="D156" s="1" t="s">
        <v>243</v>
      </c>
    </row>
    <row r="157" spans="1:4" x14ac:dyDescent="0.25">
      <c r="A157" s="1" t="str">
        <f t="shared" si="2"/>
        <v>156-TACA VINHO O GAUCHO SUAVE</v>
      </c>
      <c r="B157" s="1">
        <v>156</v>
      </c>
      <c r="C157" s="1" t="s">
        <v>249</v>
      </c>
      <c r="D157" s="1" t="s">
        <v>247</v>
      </c>
    </row>
    <row r="158" spans="1:4" x14ac:dyDescent="0.25">
      <c r="A158" s="1" t="str">
        <f t="shared" si="2"/>
        <v>157-VINHO QUINTA DO MORG SECO GF</v>
      </c>
      <c r="B158" s="1">
        <v>157</v>
      </c>
      <c r="C158" s="1" t="s">
        <v>250</v>
      </c>
      <c r="D158" s="1" t="s">
        <v>243</v>
      </c>
    </row>
    <row r="159" spans="1:4" x14ac:dyDescent="0.25">
      <c r="A159" s="1" t="str">
        <f t="shared" si="2"/>
        <v>158-TACA VINHO QUINTA DO MORG SECO</v>
      </c>
      <c r="B159" s="1">
        <v>158</v>
      </c>
      <c r="C159" s="1" t="s">
        <v>251</v>
      </c>
      <c r="D159" s="1" t="s">
        <v>247</v>
      </c>
    </row>
    <row r="160" spans="1:4" x14ac:dyDescent="0.25">
      <c r="A160" s="1" t="str">
        <f t="shared" si="2"/>
        <v>159-VINHO QUINTA DO MORG SUAVE GF</v>
      </c>
      <c r="B160" s="1">
        <v>159</v>
      </c>
      <c r="C160" s="1" t="s">
        <v>252</v>
      </c>
      <c r="D160" s="1" t="s">
        <v>243</v>
      </c>
    </row>
    <row r="161" spans="1:4" x14ac:dyDescent="0.25">
      <c r="A161" s="1" t="str">
        <f t="shared" si="2"/>
        <v>160-TACA VINHO QUINTA DO MORG SUAV</v>
      </c>
      <c r="B161" s="1">
        <v>160</v>
      </c>
      <c r="C161" s="1" t="s">
        <v>253</v>
      </c>
      <c r="D161" s="1" t="s">
        <v>247</v>
      </c>
    </row>
    <row r="162" spans="1:4" x14ac:dyDescent="0.25">
      <c r="A162" s="1" t="str">
        <f t="shared" si="2"/>
        <v>161-VINHO PERGOLA GF</v>
      </c>
      <c r="B162" s="1">
        <v>161</v>
      </c>
      <c r="C162" s="1" t="s">
        <v>254</v>
      </c>
      <c r="D162" s="1" t="s">
        <v>243</v>
      </c>
    </row>
    <row r="163" spans="1:4" x14ac:dyDescent="0.25">
      <c r="A163" s="1" t="str">
        <f t="shared" si="2"/>
        <v>162-VINHO RESERVADO GF</v>
      </c>
      <c r="B163" s="1">
        <v>162</v>
      </c>
      <c r="C163" s="1" t="s">
        <v>255</v>
      </c>
      <c r="D163" s="1" t="s">
        <v>243</v>
      </c>
    </row>
    <row r="164" spans="1:4" x14ac:dyDescent="0.25">
      <c r="A164" s="1" t="str">
        <f t="shared" si="2"/>
        <v>163-VINHO SAINT GERMAIN GF</v>
      </c>
      <c r="B164" s="1">
        <v>163</v>
      </c>
      <c r="C164" s="1" t="s">
        <v>256</v>
      </c>
      <c r="D164" s="1" t="s">
        <v>243</v>
      </c>
    </row>
    <row r="165" spans="1:4" x14ac:dyDescent="0.25">
      <c r="A165" s="1" t="str">
        <f t="shared" si="2"/>
        <v>164-ESPUMANTE CHANDON</v>
      </c>
      <c r="B165" s="1">
        <v>164</v>
      </c>
      <c r="C165" s="1" t="s">
        <v>257</v>
      </c>
      <c r="D165" s="1" t="s">
        <v>258</v>
      </c>
    </row>
    <row r="166" spans="1:4" x14ac:dyDescent="0.25">
      <c r="A166" s="1" t="str">
        <f t="shared" si="2"/>
        <v>165-STELLA ARTOIS 600ML</v>
      </c>
      <c r="B166" s="1">
        <v>165</v>
      </c>
      <c r="C166" s="1" t="s">
        <v>259</v>
      </c>
      <c r="D166" s="1" t="s">
        <v>113</v>
      </c>
    </row>
    <row r="167" spans="1:4" x14ac:dyDescent="0.25">
      <c r="A167" s="1" t="str">
        <f t="shared" si="2"/>
        <v>166-AIPIM FRITO</v>
      </c>
      <c r="B167" s="1">
        <v>166</v>
      </c>
      <c r="C167" s="1" t="s">
        <v>260</v>
      </c>
      <c r="D167" s="1" t="s">
        <v>261</v>
      </c>
    </row>
    <row r="168" spans="1:4" x14ac:dyDescent="0.25">
      <c r="A168" s="1" t="str">
        <f t="shared" si="2"/>
        <v>167-BATATA FRITA</v>
      </c>
      <c r="B168" s="1">
        <v>167</v>
      </c>
      <c r="C168" s="1" t="s">
        <v>262</v>
      </c>
      <c r="D168" s="1" t="s">
        <v>261</v>
      </c>
    </row>
    <row r="169" spans="1:4" x14ac:dyDescent="0.25">
      <c r="A169" s="1" t="str">
        <f t="shared" si="2"/>
        <v>168-MEIA BATATA FRITA</v>
      </c>
      <c r="B169" s="1">
        <v>168</v>
      </c>
      <c r="C169" s="1" t="s">
        <v>263</v>
      </c>
      <c r="D169" s="1" t="s">
        <v>261</v>
      </c>
    </row>
    <row r="170" spans="1:4" x14ac:dyDescent="0.25">
      <c r="A170" s="1" t="str">
        <f t="shared" si="2"/>
        <v>169-QUEIJO A MILANESA</v>
      </c>
      <c r="B170" s="1">
        <v>169</v>
      </c>
      <c r="C170" s="1" t="s">
        <v>264</v>
      </c>
      <c r="D170" s="1" t="s">
        <v>261</v>
      </c>
    </row>
    <row r="171" spans="1:4" x14ac:dyDescent="0.25">
      <c r="A171" s="1" t="str">
        <f t="shared" si="2"/>
        <v>170-CAMARAO AO ALHO E OLEO</v>
      </c>
      <c r="B171" s="1">
        <v>170</v>
      </c>
      <c r="C171" s="1" t="s">
        <v>265</v>
      </c>
      <c r="D171" s="1" t="s">
        <v>261</v>
      </c>
    </row>
    <row r="172" spans="1:4" x14ac:dyDescent="0.25">
      <c r="A172" s="1" t="str">
        <f t="shared" si="2"/>
        <v>171-CARNE DE SOL COM AIPIM FRITO</v>
      </c>
      <c r="B172" s="1">
        <v>171</v>
      </c>
      <c r="C172" s="1" t="s">
        <v>266</v>
      </c>
      <c r="D172" s="1" t="s">
        <v>261</v>
      </c>
    </row>
    <row r="173" spans="1:4" x14ac:dyDescent="0.25">
      <c r="A173" s="1" t="str">
        <f t="shared" si="2"/>
        <v>172-CARNE SUINA TRINCHADA</v>
      </c>
      <c r="B173" s="1">
        <v>172</v>
      </c>
      <c r="C173" s="1" t="s">
        <v>267</v>
      </c>
      <c r="D173" s="1" t="s">
        <v>261</v>
      </c>
    </row>
    <row r="174" spans="1:4" x14ac:dyDescent="0.25">
      <c r="A174" s="1" t="str">
        <f t="shared" si="2"/>
        <v>173-CONTRA FILE TRINCHADO E ACEBOL</v>
      </c>
      <c r="B174" s="1">
        <v>173</v>
      </c>
      <c r="C174" s="1" t="s">
        <v>268</v>
      </c>
      <c r="D174" s="1" t="s">
        <v>261</v>
      </c>
    </row>
    <row r="175" spans="1:4" x14ac:dyDescent="0.25">
      <c r="A175" s="1" t="str">
        <f t="shared" si="2"/>
        <v>174-FRANGO A PASSARINHO</v>
      </c>
      <c r="B175" s="1">
        <v>174</v>
      </c>
      <c r="C175" s="1" t="s">
        <v>269</v>
      </c>
      <c r="D175" s="1" t="s">
        <v>261</v>
      </c>
    </row>
    <row r="176" spans="1:4" x14ac:dyDescent="0.25">
      <c r="A176" s="1" t="str">
        <f t="shared" si="2"/>
        <v>175-LINGUICA CALABRESA</v>
      </c>
      <c r="B176" s="1">
        <v>175</v>
      </c>
      <c r="C176" s="1" t="s">
        <v>270</v>
      </c>
      <c r="D176" s="1" t="s">
        <v>261</v>
      </c>
    </row>
    <row r="177" spans="1:4" x14ac:dyDescent="0.25">
      <c r="A177" s="1" t="str">
        <f t="shared" si="2"/>
        <v>176-NUGGET DE FRANGO</v>
      </c>
      <c r="B177" s="1">
        <v>176</v>
      </c>
      <c r="C177" s="1" t="s">
        <v>271</v>
      </c>
      <c r="D177" s="1" t="s">
        <v>261</v>
      </c>
    </row>
    <row r="178" spans="1:4" x14ac:dyDescent="0.25">
      <c r="A178" s="1" t="str">
        <f t="shared" si="2"/>
        <v>177-NUGGET DE PEIXE</v>
      </c>
      <c r="B178" s="1">
        <v>177</v>
      </c>
      <c r="C178" s="1" t="s">
        <v>272</v>
      </c>
      <c r="D178" s="1" t="s">
        <v>261</v>
      </c>
    </row>
    <row r="179" spans="1:4" x14ac:dyDescent="0.25">
      <c r="A179" s="1" t="str">
        <f t="shared" si="2"/>
        <v>178-PEIXE INTEIRO FRITO</v>
      </c>
      <c r="B179" s="1">
        <v>178</v>
      </c>
      <c r="C179" s="1" t="s">
        <v>273</v>
      </c>
      <c r="D179" s="1" t="s">
        <v>261</v>
      </c>
    </row>
    <row r="180" spans="1:4" x14ac:dyDescent="0.25">
      <c r="A180" s="1" t="str">
        <f t="shared" si="2"/>
        <v>179-CHURRASCO A GAUCHO</v>
      </c>
      <c r="B180" s="1">
        <v>179</v>
      </c>
      <c r="C180" s="1" t="s">
        <v>274</v>
      </c>
      <c r="D180" s="1" t="s">
        <v>275</v>
      </c>
    </row>
    <row r="181" spans="1:4" x14ac:dyDescent="0.25">
      <c r="A181" s="1" t="str">
        <f t="shared" si="2"/>
        <v>180-MEIO CHURRASCO A GAUCHO</v>
      </c>
      <c r="B181" s="1">
        <v>180</v>
      </c>
      <c r="C181" s="1" t="s">
        <v>276</v>
      </c>
      <c r="D181" s="1" t="s">
        <v>275</v>
      </c>
    </row>
    <row r="182" spans="1:4" x14ac:dyDescent="0.25">
      <c r="A182" s="1" t="str">
        <f t="shared" si="2"/>
        <v>181-CHURRASCO MISTO</v>
      </c>
      <c r="B182" s="1">
        <v>181</v>
      </c>
      <c r="C182" s="1" t="s">
        <v>277</v>
      </c>
      <c r="D182" s="1" t="s">
        <v>275</v>
      </c>
    </row>
    <row r="183" spans="1:4" x14ac:dyDescent="0.25">
      <c r="A183" s="1" t="str">
        <f t="shared" si="2"/>
        <v>182-MEIO CHURRASCO MISTO</v>
      </c>
      <c r="B183" s="1">
        <v>182</v>
      </c>
      <c r="C183" s="1" t="s">
        <v>278</v>
      </c>
      <c r="D183" s="1" t="s">
        <v>275</v>
      </c>
    </row>
    <row r="184" spans="1:4" x14ac:dyDescent="0.25">
      <c r="A184" s="1" t="str">
        <f t="shared" si="2"/>
        <v>183-COSTELA SUINA</v>
      </c>
      <c r="B184" s="1">
        <v>183</v>
      </c>
      <c r="C184" s="1" t="s">
        <v>279</v>
      </c>
      <c r="D184" s="1" t="s">
        <v>275</v>
      </c>
    </row>
    <row r="185" spans="1:4" x14ac:dyDescent="0.25">
      <c r="A185" s="1" t="str">
        <f t="shared" si="2"/>
        <v>184-MEIA COSTELA SUINA</v>
      </c>
      <c r="B185" s="1">
        <v>184</v>
      </c>
      <c r="C185" s="1" t="s">
        <v>280</v>
      </c>
      <c r="D185" s="1" t="s">
        <v>275</v>
      </c>
    </row>
    <row r="186" spans="1:4" x14ac:dyDescent="0.25">
      <c r="A186" s="1" t="str">
        <f t="shared" si="2"/>
        <v>185-FILE DE FRANGO GRELHADO</v>
      </c>
      <c r="B186" s="1">
        <v>185</v>
      </c>
      <c r="C186" s="1" t="s">
        <v>281</v>
      </c>
      <c r="D186" s="1" t="s">
        <v>275</v>
      </c>
    </row>
    <row r="187" spans="1:4" x14ac:dyDescent="0.25">
      <c r="A187" s="1" t="str">
        <f t="shared" si="2"/>
        <v>186-MEIO FILE DE FRANGO GRELHADO</v>
      </c>
      <c r="B187" s="1">
        <v>186</v>
      </c>
      <c r="C187" s="1" t="s">
        <v>282</v>
      </c>
      <c r="D187" s="1" t="s">
        <v>275</v>
      </c>
    </row>
    <row r="188" spans="1:4" x14ac:dyDescent="0.25">
      <c r="A188" s="1" t="str">
        <f t="shared" si="2"/>
        <v>187-PICANHA IMPORTADA</v>
      </c>
      <c r="B188" s="1">
        <v>187</v>
      </c>
      <c r="C188" s="1" t="s">
        <v>283</v>
      </c>
      <c r="D188" s="1" t="s">
        <v>275</v>
      </c>
    </row>
    <row r="189" spans="1:4" x14ac:dyDescent="0.25">
      <c r="A189" s="1" t="str">
        <f t="shared" si="2"/>
        <v>188-MEIA PICANHA IMPORTADA</v>
      </c>
      <c r="B189" s="1">
        <v>188</v>
      </c>
      <c r="C189" s="1" t="s">
        <v>284</v>
      </c>
      <c r="D189" s="1" t="s">
        <v>275</v>
      </c>
    </row>
    <row r="190" spans="1:4" x14ac:dyDescent="0.25">
      <c r="A190" s="1" t="str">
        <f t="shared" si="2"/>
        <v>189-FILE DE FRANGO A PARMEGIANA</v>
      </c>
      <c r="B190" s="1">
        <v>189</v>
      </c>
      <c r="C190" s="1" t="s">
        <v>285</v>
      </c>
      <c r="D190" s="1" t="s">
        <v>286</v>
      </c>
    </row>
    <row r="191" spans="1:4" x14ac:dyDescent="0.25">
      <c r="A191" s="1" t="str">
        <f t="shared" si="2"/>
        <v>190-MEIO FILE DE FRANGO A PARMEG</v>
      </c>
      <c r="B191" s="1">
        <v>190</v>
      </c>
      <c r="C191" s="1" t="s">
        <v>287</v>
      </c>
      <c r="D191" s="1" t="s">
        <v>286</v>
      </c>
    </row>
    <row r="192" spans="1:4" x14ac:dyDescent="0.25">
      <c r="A192" s="1" t="str">
        <f t="shared" si="2"/>
        <v>191-FILE DE FRANGO AO MOLHO M</v>
      </c>
      <c r="B192" s="1">
        <v>191</v>
      </c>
      <c r="C192" s="1" t="s">
        <v>288</v>
      </c>
      <c r="D192" s="1" t="s">
        <v>286</v>
      </c>
    </row>
    <row r="193" spans="1:4" x14ac:dyDescent="0.25">
      <c r="A193" s="1" t="str">
        <f t="shared" si="2"/>
        <v>192-MEIO FILE DE FRANGO AO MOLHO M</v>
      </c>
      <c r="B193" s="1">
        <v>192</v>
      </c>
      <c r="C193" s="1" t="s">
        <v>289</v>
      </c>
      <c r="D193" s="1" t="s">
        <v>286</v>
      </c>
    </row>
    <row r="194" spans="1:4" x14ac:dyDescent="0.25">
      <c r="A194" s="1" t="str">
        <f t="shared" si="2"/>
        <v>193-FILE MIGNON A PARMEGIANA</v>
      </c>
      <c r="B194" s="1">
        <v>193</v>
      </c>
      <c r="C194" s="1" t="s">
        <v>290</v>
      </c>
      <c r="D194" s="1" t="s">
        <v>286</v>
      </c>
    </row>
    <row r="195" spans="1:4" x14ac:dyDescent="0.25">
      <c r="A195" s="1" t="str">
        <f t="shared" ref="A195:A258" si="3">B195&amp;"-"&amp;C195</f>
        <v>194-MEIO FILE MIGNON A PARMEGIANA</v>
      </c>
      <c r="B195" s="1">
        <v>194</v>
      </c>
      <c r="C195" s="1" t="s">
        <v>291</v>
      </c>
      <c r="D195" s="1" t="s">
        <v>286</v>
      </c>
    </row>
    <row r="196" spans="1:4" x14ac:dyDescent="0.25">
      <c r="A196" s="1" t="str">
        <f t="shared" si="3"/>
        <v>195-FILE MIGNON AO MOLHO MADEIRA</v>
      </c>
      <c r="B196" s="1">
        <v>195</v>
      </c>
      <c r="C196" s="1" t="s">
        <v>292</v>
      </c>
      <c r="D196" s="1" t="s">
        <v>286</v>
      </c>
    </row>
    <row r="197" spans="1:4" x14ac:dyDescent="0.25">
      <c r="A197" s="1" t="str">
        <f t="shared" si="3"/>
        <v>196-MEDALHAO FILE MIGNON</v>
      </c>
      <c r="B197" s="1">
        <v>196</v>
      </c>
      <c r="C197" s="1" t="s">
        <v>293</v>
      </c>
      <c r="D197" s="1" t="s">
        <v>286</v>
      </c>
    </row>
    <row r="198" spans="1:4" x14ac:dyDescent="0.25">
      <c r="A198" s="1" t="str">
        <f t="shared" si="3"/>
        <v>197-CAMARAO COMODORO</v>
      </c>
      <c r="B198" s="1">
        <v>197</v>
      </c>
      <c r="C198" s="1" t="s">
        <v>294</v>
      </c>
      <c r="D198" s="1" t="s">
        <v>295</v>
      </c>
    </row>
    <row r="199" spans="1:4" x14ac:dyDescent="0.25">
      <c r="A199" s="1" t="str">
        <f t="shared" si="3"/>
        <v>198-CAMARAO EMPANADO AO MOLHO B</v>
      </c>
      <c r="B199" s="1">
        <v>198</v>
      </c>
      <c r="C199" s="1" t="s">
        <v>296</v>
      </c>
      <c r="D199" s="1" t="s">
        <v>295</v>
      </c>
    </row>
    <row r="200" spans="1:4" x14ac:dyDescent="0.25">
      <c r="A200" s="1" t="str">
        <f t="shared" si="3"/>
        <v>199-FILE DE PEIXE A PARMEG MOLHO B</v>
      </c>
      <c r="B200" s="1">
        <v>199</v>
      </c>
      <c r="C200" s="1" t="s">
        <v>297</v>
      </c>
      <c r="D200" s="1" t="s">
        <v>295</v>
      </c>
    </row>
    <row r="201" spans="1:4" x14ac:dyDescent="0.25">
      <c r="A201" s="1" t="str">
        <f t="shared" si="3"/>
        <v>200-MEIO FILE PEIXE A PARM MOLHO B</v>
      </c>
      <c r="B201" s="1">
        <v>200</v>
      </c>
      <c r="C201" s="1" t="s">
        <v>298</v>
      </c>
      <c r="D201" s="1" t="s">
        <v>295</v>
      </c>
    </row>
    <row r="202" spans="1:4" x14ac:dyDescent="0.25">
      <c r="A202" s="1" t="str">
        <f t="shared" si="3"/>
        <v>201-FILE PEIXE C CAMARAO MOLHO B</v>
      </c>
      <c r="B202" s="1">
        <v>201</v>
      </c>
      <c r="C202" s="1" t="s">
        <v>299</v>
      </c>
      <c r="D202" s="1" t="s">
        <v>295</v>
      </c>
    </row>
    <row r="203" spans="1:4" x14ac:dyDescent="0.25">
      <c r="A203" s="1" t="str">
        <f t="shared" si="3"/>
        <v>202-FILE DE PEIXE GRELHADO</v>
      </c>
      <c r="B203" s="1">
        <v>202</v>
      </c>
      <c r="C203" s="1" t="s">
        <v>300</v>
      </c>
      <c r="D203" s="1" t="s">
        <v>295</v>
      </c>
    </row>
    <row r="204" spans="1:4" x14ac:dyDescent="0.25">
      <c r="A204" s="1" t="str">
        <f t="shared" si="3"/>
        <v>203-MEIO FILE DE PEIXE GRELHADO</v>
      </c>
      <c r="B204" s="1">
        <v>203</v>
      </c>
      <c r="C204" s="1" t="s">
        <v>301</v>
      </c>
      <c r="D204" s="1" t="s">
        <v>295</v>
      </c>
    </row>
    <row r="205" spans="1:4" x14ac:dyDescent="0.25">
      <c r="A205" s="1" t="str">
        <f t="shared" si="3"/>
        <v>204-FILE SALMAO GRELHADO BELLE MEU</v>
      </c>
      <c r="B205" s="1">
        <v>204</v>
      </c>
      <c r="C205" s="1" t="s">
        <v>302</v>
      </c>
      <c r="D205" s="1" t="s">
        <v>295</v>
      </c>
    </row>
    <row r="206" spans="1:4" x14ac:dyDescent="0.25">
      <c r="A206" s="1" t="str">
        <f t="shared" si="3"/>
        <v>205-PEIXADA COZIDA MOLHO ESPECIAL</v>
      </c>
      <c r="B206" s="1">
        <v>205</v>
      </c>
      <c r="C206" s="1" t="s">
        <v>303</v>
      </c>
      <c r="D206" s="1" t="s">
        <v>295</v>
      </c>
    </row>
    <row r="207" spans="1:4" x14ac:dyDescent="0.25">
      <c r="A207" s="1" t="str">
        <f t="shared" si="3"/>
        <v>206-PEIXE FRITO</v>
      </c>
      <c r="B207" s="1">
        <v>206</v>
      </c>
      <c r="C207" s="1" t="s">
        <v>304</v>
      </c>
      <c r="D207" s="1" t="s">
        <v>295</v>
      </c>
    </row>
    <row r="208" spans="1:4" x14ac:dyDescent="0.25">
      <c r="A208" s="1" t="str">
        <f t="shared" si="3"/>
        <v>207-PEIXE NA BRASA</v>
      </c>
      <c r="B208" s="1">
        <v>207</v>
      </c>
      <c r="C208" s="1" t="s">
        <v>305</v>
      </c>
      <c r="D208" s="1" t="s">
        <v>295</v>
      </c>
    </row>
    <row r="209" spans="1:4" x14ac:dyDescent="0.25">
      <c r="A209" s="1" t="str">
        <f t="shared" si="3"/>
        <v>208-ESPAGUETE A BOLONHESA</v>
      </c>
      <c r="B209" s="1">
        <v>208</v>
      </c>
      <c r="C209" s="1" t="s">
        <v>306</v>
      </c>
      <c r="D209" s="1" t="s">
        <v>307</v>
      </c>
    </row>
    <row r="210" spans="1:4" x14ac:dyDescent="0.25">
      <c r="A210" s="1" t="str">
        <f t="shared" si="3"/>
        <v>209-ESPAGUETE CAMARAO AO MOLHO E</v>
      </c>
      <c r="B210" s="1">
        <v>209</v>
      </c>
      <c r="C210" s="1" t="s">
        <v>308</v>
      </c>
      <c r="D210" s="1" t="s">
        <v>307</v>
      </c>
    </row>
    <row r="211" spans="1:4" x14ac:dyDescent="0.25">
      <c r="A211" s="1" t="str">
        <f t="shared" si="3"/>
        <v>210-FETTUCCINE A CARBONARA</v>
      </c>
      <c r="B211" s="1">
        <v>210</v>
      </c>
      <c r="C211" s="1" t="s">
        <v>309</v>
      </c>
      <c r="D211" s="1" t="s">
        <v>310</v>
      </c>
    </row>
    <row r="212" spans="1:4" x14ac:dyDescent="0.25">
      <c r="A212" s="1" t="str">
        <f t="shared" si="3"/>
        <v>211-FETTUCCINE A CARBONARA CAMARAO</v>
      </c>
      <c r="B212" s="1">
        <v>211</v>
      </c>
      <c r="C212" s="1" t="s">
        <v>311</v>
      </c>
      <c r="D212" s="1" t="s">
        <v>310</v>
      </c>
    </row>
    <row r="213" spans="1:4" x14ac:dyDescent="0.25">
      <c r="A213" s="1" t="str">
        <f t="shared" si="3"/>
        <v>212-FETTUCCINE A PARISIENSE</v>
      </c>
      <c r="B213" s="1">
        <v>212</v>
      </c>
      <c r="C213" s="1" t="s">
        <v>312</v>
      </c>
      <c r="D213" s="1" t="s">
        <v>310</v>
      </c>
    </row>
    <row r="214" spans="1:4" x14ac:dyDescent="0.25">
      <c r="A214" s="1" t="str">
        <f t="shared" si="3"/>
        <v>213-RONDELLI COM CARNE DE SOL</v>
      </c>
      <c r="B214" s="1">
        <v>213</v>
      </c>
      <c r="C214" s="1" t="s">
        <v>313</v>
      </c>
      <c r="D214" s="1" t="s">
        <v>310</v>
      </c>
    </row>
    <row r="215" spans="1:4" x14ac:dyDescent="0.25">
      <c r="A215" s="1" t="str">
        <f t="shared" si="3"/>
        <v>214-EXEC CONTRA FILE AO MOLHO M</v>
      </c>
      <c r="B215" s="1">
        <v>214</v>
      </c>
      <c r="C215" s="1" t="s">
        <v>314</v>
      </c>
      <c r="D215" s="1" t="s">
        <v>315</v>
      </c>
    </row>
    <row r="216" spans="1:4" x14ac:dyDescent="0.25">
      <c r="A216" s="1" t="str">
        <f t="shared" si="3"/>
        <v>215-EXEC CHURRASCO SUINO NA BRASA</v>
      </c>
      <c r="B216" s="1">
        <v>215</v>
      </c>
      <c r="C216" s="1" t="s">
        <v>316</v>
      </c>
      <c r="D216" s="1" t="s">
        <v>315</v>
      </c>
    </row>
    <row r="217" spans="1:4" x14ac:dyDescent="0.25">
      <c r="A217" s="1" t="str">
        <f t="shared" si="3"/>
        <v>216-EXEC FETTUCCINE A BOLONHESA</v>
      </c>
      <c r="B217" s="1">
        <v>216</v>
      </c>
      <c r="C217" s="1" t="s">
        <v>317</v>
      </c>
      <c r="D217" s="1" t="s">
        <v>315</v>
      </c>
    </row>
    <row r="218" spans="1:4" x14ac:dyDescent="0.25">
      <c r="A218" s="1" t="str">
        <f t="shared" si="3"/>
        <v>217-EXEC FILE DE FRANGO A PARMEG</v>
      </c>
      <c r="B218" s="1">
        <v>217</v>
      </c>
      <c r="C218" s="1" t="s">
        <v>318</v>
      </c>
      <c r="D218" s="1" t="s">
        <v>315</v>
      </c>
    </row>
    <row r="219" spans="1:4" x14ac:dyDescent="0.25">
      <c r="A219" s="1" t="str">
        <f t="shared" si="3"/>
        <v>218-EXEC FILE DE FRANGO AO MOLHO M</v>
      </c>
      <c r="B219" s="1">
        <v>218</v>
      </c>
      <c r="C219" s="1" t="s">
        <v>319</v>
      </c>
      <c r="D219" s="1" t="s">
        <v>315</v>
      </c>
    </row>
    <row r="220" spans="1:4" x14ac:dyDescent="0.25">
      <c r="A220" s="1" t="str">
        <f t="shared" si="3"/>
        <v>219-EXEC FILE FRANG GRELHADO BRASA</v>
      </c>
      <c r="B220" s="1">
        <v>219</v>
      </c>
      <c r="C220" s="1" t="s">
        <v>320</v>
      </c>
      <c r="D220" s="1" t="s">
        <v>315</v>
      </c>
    </row>
    <row r="221" spans="1:4" x14ac:dyDescent="0.25">
      <c r="A221" s="1" t="str">
        <f t="shared" si="3"/>
        <v>220-EXEC FILE DE PEIXE GRELHADO</v>
      </c>
      <c r="B221" s="1">
        <v>220</v>
      </c>
      <c r="C221" s="1" t="s">
        <v>321</v>
      </c>
      <c r="D221" s="1" t="s">
        <v>315</v>
      </c>
    </row>
    <row r="222" spans="1:4" x14ac:dyDescent="0.25">
      <c r="A222" s="1" t="str">
        <f t="shared" si="3"/>
        <v>221-EXEC FILE PEIXE PARMEG MOLHO B</v>
      </c>
      <c r="B222" s="1">
        <v>221</v>
      </c>
      <c r="C222" s="1" t="s">
        <v>322</v>
      </c>
      <c r="D222" s="1" t="s">
        <v>315</v>
      </c>
    </row>
    <row r="223" spans="1:4" x14ac:dyDescent="0.25">
      <c r="A223" s="1" t="str">
        <f t="shared" si="3"/>
        <v>222-EXEC FILE MIGNON A PARMEGIANA</v>
      </c>
      <c r="B223" s="1">
        <v>222</v>
      </c>
      <c r="C223" s="1" t="s">
        <v>323</v>
      </c>
      <c r="D223" s="1" t="s">
        <v>315</v>
      </c>
    </row>
    <row r="224" spans="1:4" x14ac:dyDescent="0.25">
      <c r="A224" s="1" t="str">
        <f t="shared" si="3"/>
        <v>223-EXEC RONDELLI DE CARNE</v>
      </c>
      <c r="B224" s="1">
        <v>223</v>
      </c>
      <c r="C224" s="1" t="s">
        <v>324</v>
      </c>
      <c r="D224" s="1" t="s">
        <v>315</v>
      </c>
    </row>
    <row r="225" spans="1:4" x14ac:dyDescent="0.25">
      <c r="A225" s="1" t="str">
        <f t="shared" si="3"/>
        <v>224-EXEC RONDELLI DE CARNE DE SOL</v>
      </c>
      <c r="B225" s="1">
        <v>224</v>
      </c>
      <c r="C225" s="1" t="s">
        <v>325</v>
      </c>
      <c r="D225" s="1" t="s">
        <v>315</v>
      </c>
    </row>
    <row r="226" spans="1:4" x14ac:dyDescent="0.25">
      <c r="A226" s="1" t="str">
        <f t="shared" si="3"/>
        <v>225-PRATO FEITO DE CARNE BOVINA</v>
      </c>
      <c r="B226" s="1">
        <v>225</v>
      </c>
      <c r="C226" s="1" t="s">
        <v>326</v>
      </c>
      <c r="D226" s="1" t="s">
        <v>327</v>
      </c>
    </row>
    <row r="227" spans="1:4" x14ac:dyDescent="0.25">
      <c r="A227" s="1" t="str">
        <f t="shared" si="3"/>
        <v>226-PRATO FEITO DE CARNE SUINA</v>
      </c>
      <c r="B227" s="1">
        <v>226</v>
      </c>
      <c r="C227" s="1" t="s">
        <v>328</v>
      </c>
      <c r="D227" s="1" t="s">
        <v>327</v>
      </c>
    </row>
    <row r="228" spans="1:4" x14ac:dyDescent="0.25">
      <c r="A228" s="1" t="str">
        <f t="shared" si="3"/>
        <v>227-PRATO FEITO DE FRANGO NA BRASA</v>
      </c>
      <c r="B228" s="1">
        <v>227</v>
      </c>
      <c r="C228" s="1" t="s">
        <v>329</v>
      </c>
      <c r="D228" s="1" t="s">
        <v>327</v>
      </c>
    </row>
    <row r="229" spans="1:4" x14ac:dyDescent="0.25">
      <c r="A229" s="1" t="str">
        <f t="shared" si="3"/>
        <v>228-PRATO FEITO DE PEIXE GRELHADO</v>
      </c>
      <c r="B229" s="1">
        <v>228</v>
      </c>
      <c r="C229" s="1" t="s">
        <v>330</v>
      </c>
      <c r="D229" s="1" t="s">
        <v>327</v>
      </c>
    </row>
    <row r="230" spans="1:4" x14ac:dyDescent="0.25">
      <c r="A230" s="1" t="str">
        <f t="shared" si="3"/>
        <v>229-QUENTINHA DE CARNE BOVINA</v>
      </c>
      <c r="B230" s="1">
        <v>229</v>
      </c>
      <c r="C230" s="1" t="s">
        <v>331</v>
      </c>
      <c r="D230" s="1" t="s">
        <v>332</v>
      </c>
    </row>
    <row r="231" spans="1:4" x14ac:dyDescent="0.25">
      <c r="A231" s="1" t="str">
        <f t="shared" si="3"/>
        <v>230-QUENTINHA DE CARNE SUINA</v>
      </c>
      <c r="B231" s="1">
        <v>230</v>
      </c>
      <c r="C231" s="1" t="s">
        <v>333</v>
      </c>
      <c r="D231" s="1" t="s">
        <v>332</v>
      </c>
    </row>
    <row r="232" spans="1:4" x14ac:dyDescent="0.25">
      <c r="A232" s="1" t="str">
        <f t="shared" si="3"/>
        <v>231-QUENTINHA DE FRANGO</v>
      </c>
      <c r="B232" s="1">
        <v>231</v>
      </c>
      <c r="C232" s="1" t="s">
        <v>334</v>
      </c>
      <c r="D232" s="1" t="s">
        <v>332</v>
      </c>
    </row>
    <row r="233" spans="1:4" x14ac:dyDescent="0.25">
      <c r="A233" s="1" t="str">
        <f t="shared" si="3"/>
        <v>232-QUENTINHA DE LINGUICA</v>
      </c>
      <c r="B233" s="1">
        <v>232</v>
      </c>
      <c r="C233" s="1" t="s">
        <v>335</v>
      </c>
      <c r="D233" s="1" t="s">
        <v>332</v>
      </c>
    </row>
    <row r="234" spans="1:4" x14ac:dyDescent="0.25">
      <c r="A234" s="1" t="str">
        <f t="shared" si="3"/>
        <v>233-QUENTINHA DE PEIXE GRELHADO</v>
      </c>
      <c r="B234" s="1">
        <v>233</v>
      </c>
      <c r="C234" s="1" t="s">
        <v>336</v>
      </c>
      <c r="D234" s="1" t="s">
        <v>332</v>
      </c>
    </row>
    <row r="235" spans="1:4" x14ac:dyDescent="0.25">
      <c r="A235" s="1" t="str">
        <f t="shared" si="3"/>
        <v>234-QUENTINHA DE SALPICAO</v>
      </c>
      <c r="B235" s="1">
        <v>234</v>
      </c>
      <c r="C235" s="1" t="s">
        <v>337</v>
      </c>
      <c r="D235" s="1" t="s">
        <v>332</v>
      </c>
    </row>
    <row r="236" spans="1:4" x14ac:dyDescent="0.25">
      <c r="A236" s="1" t="str">
        <f t="shared" si="3"/>
        <v>235-EXEC CHURRASCO CONTRA FILE</v>
      </c>
      <c r="B236" s="1">
        <v>235</v>
      </c>
      <c r="C236" s="1" t="s">
        <v>338</v>
      </c>
      <c r="D236" s="1" t="s">
        <v>315</v>
      </c>
    </row>
    <row r="237" spans="1:4" x14ac:dyDescent="0.25">
      <c r="A237" s="1" t="str">
        <f t="shared" si="3"/>
        <v>236-CAIPIVODKA SMIRNOFF</v>
      </c>
      <c r="B237" s="1">
        <v>236</v>
      </c>
      <c r="C237" s="1" t="s">
        <v>339</v>
      </c>
      <c r="D237" s="1" t="s">
        <v>136</v>
      </c>
    </row>
    <row r="238" spans="1:4" x14ac:dyDescent="0.25">
      <c r="A238" s="1" t="str">
        <f t="shared" si="3"/>
        <v>237-ARROZ A GREGA</v>
      </c>
      <c r="B238" s="1">
        <v>237</v>
      </c>
      <c r="C238" s="1" t="s">
        <v>340</v>
      </c>
      <c r="D238" s="1" t="s">
        <v>341</v>
      </c>
    </row>
    <row r="239" spans="1:4" x14ac:dyDescent="0.25">
      <c r="A239" s="1" t="str">
        <f t="shared" si="3"/>
        <v>238-MEIO ARROZ A GREGA</v>
      </c>
      <c r="B239" s="1">
        <v>238</v>
      </c>
      <c r="C239" s="1" t="s">
        <v>342</v>
      </c>
      <c r="D239" s="1" t="s">
        <v>341</v>
      </c>
    </row>
    <row r="240" spans="1:4" x14ac:dyDescent="0.25">
      <c r="A240" s="1" t="str">
        <f t="shared" si="3"/>
        <v>239-ARROZ A PIAMONTESE</v>
      </c>
      <c r="B240" s="1">
        <v>239</v>
      </c>
      <c r="C240" s="1" t="s">
        <v>343</v>
      </c>
      <c r="D240" s="1" t="s">
        <v>341</v>
      </c>
    </row>
    <row r="241" spans="1:4" x14ac:dyDescent="0.25">
      <c r="A241" s="1" t="str">
        <f t="shared" si="3"/>
        <v>240-MEIO ARROZ A PIAMONTESE</v>
      </c>
      <c r="B241" s="1">
        <v>240</v>
      </c>
      <c r="C241" s="1" t="s">
        <v>344</v>
      </c>
      <c r="D241" s="1" t="s">
        <v>341</v>
      </c>
    </row>
    <row r="242" spans="1:4" x14ac:dyDescent="0.25">
      <c r="A242" s="1" t="str">
        <f t="shared" si="3"/>
        <v>241-ARROZ BRANCO</v>
      </c>
      <c r="B242" s="1">
        <v>241</v>
      </c>
      <c r="C242" s="1" t="s">
        <v>345</v>
      </c>
      <c r="D242" s="1" t="s">
        <v>341</v>
      </c>
    </row>
    <row r="243" spans="1:4" x14ac:dyDescent="0.25">
      <c r="A243" s="1" t="str">
        <f t="shared" si="3"/>
        <v>242-MEIO ARROZ BRANCO</v>
      </c>
      <c r="B243" s="1">
        <v>242</v>
      </c>
      <c r="C243" s="1" t="s">
        <v>346</v>
      </c>
      <c r="D243" s="1" t="s">
        <v>341</v>
      </c>
    </row>
    <row r="244" spans="1:4" x14ac:dyDescent="0.25">
      <c r="A244" s="1" t="str">
        <f t="shared" si="3"/>
        <v>243-ARROZ COM ACAFRAO</v>
      </c>
      <c r="B244" s="1">
        <v>243</v>
      </c>
      <c r="C244" s="1" t="s">
        <v>347</v>
      </c>
      <c r="D244" s="1" t="s">
        <v>341</v>
      </c>
    </row>
    <row r="245" spans="1:4" x14ac:dyDescent="0.25">
      <c r="A245" s="1" t="str">
        <f t="shared" si="3"/>
        <v>244-MEIO ARROZ COM ACAFRAO</v>
      </c>
      <c r="B245" s="1">
        <v>244</v>
      </c>
      <c r="C245" s="1" t="s">
        <v>348</v>
      </c>
      <c r="D245" s="1" t="s">
        <v>341</v>
      </c>
    </row>
    <row r="246" spans="1:4" x14ac:dyDescent="0.25">
      <c r="A246" s="1" t="str">
        <f t="shared" si="3"/>
        <v>245-ARROZ COM BROCOLIS</v>
      </c>
      <c r="B246" s="1">
        <v>245</v>
      </c>
      <c r="C246" s="1" t="s">
        <v>349</v>
      </c>
      <c r="D246" s="1" t="s">
        <v>341</v>
      </c>
    </row>
    <row r="247" spans="1:4" x14ac:dyDescent="0.25">
      <c r="A247" s="1" t="str">
        <f t="shared" si="3"/>
        <v>246-MEIO ARROZ COM BROCOLIS</v>
      </c>
      <c r="B247" s="1">
        <v>246</v>
      </c>
      <c r="C247" s="1" t="s">
        <v>350</v>
      </c>
      <c r="D247" s="1" t="s">
        <v>341</v>
      </c>
    </row>
    <row r="248" spans="1:4" x14ac:dyDescent="0.25">
      <c r="A248" s="1" t="str">
        <f t="shared" si="3"/>
        <v>247-ARROZ DE FORNO</v>
      </c>
      <c r="B248" s="1">
        <v>247</v>
      </c>
      <c r="C248" s="1" t="s">
        <v>351</v>
      </c>
      <c r="D248" s="1" t="s">
        <v>341</v>
      </c>
    </row>
    <row r="249" spans="1:4" x14ac:dyDescent="0.25">
      <c r="A249" s="1" t="str">
        <f t="shared" si="3"/>
        <v>248-MEIO ARROZ DE FORNO</v>
      </c>
      <c r="B249" s="1">
        <v>248</v>
      </c>
      <c r="C249" s="1" t="s">
        <v>352</v>
      </c>
      <c r="D249" s="1" t="s">
        <v>341</v>
      </c>
    </row>
    <row r="250" spans="1:4" x14ac:dyDescent="0.25">
      <c r="A250" s="1" t="str">
        <f t="shared" si="3"/>
        <v>249-ARROZ MALUCO</v>
      </c>
      <c r="B250" s="1">
        <v>249</v>
      </c>
      <c r="C250" s="1" t="s">
        <v>353</v>
      </c>
      <c r="D250" s="1" t="s">
        <v>341</v>
      </c>
    </row>
    <row r="251" spans="1:4" x14ac:dyDescent="0.25">
      <c r="A251" s="1" t="str">
        <f t="shared" si="3"/>
        <v>250-MEIO ARROZ MALUCO</v>
      </c>
      <c r="B251" s="1">
        <v>250</v>
      </c>
      <c r="C251" s="1" t="s">
        <v>354</v>
      </c>
      <c r="D251" s="1" t="s">
        <v>341</v>
      </c>
    </row>
    <row r="252" spans="1:4" x14ac:dyDescent="0.25">
      <c r="A252" s="1" t="str">
        <f t="shared" si="3"/>
        <v>251-BAIAO DE DOIS</v>
      </c>
      <c r="B252" s="1">
        <v>251</v>
      </c>
      <c r="C252" s="1" t="s">
        <v>355</v>
      </c>
      <c r="D252" s="1" t="s">
        <v>341</v>
      </c>
    </row>
    <row r="253" spans="1:4" x14ac:dyDescent="0.25">
      <c r="A253" s="1" t="str">
        <f t="shared" si="3"/>
        <v>252-MEIO BAIAO DE DOIS</v>
      </c>
      <c r="B253" s="1">
        <v>252</v>
      </c>
      <c r="C253" s="1" t="s">
        <v>356</v>
      </c>
      <c r="D253" s="1" t="s">
        <v>341</v>
      </c>
    </row>
    <row r="254" spans="1:4" x14ac:dyDescent="0.25">
      <c r="A254" s="1" t="str">
        <f t="shared" si="3"/>
        <v>253-BATATA ROSTI</v>
      </c>
      <c r="B254" s="1">
        <v>253</v>
      </c>
      <c r="C254" s="1" t="s">
        <v>357</v>
      </c>
      <c r="D254" s="1" t="s">
        <v>341</v>
      </c>
    </row>
    <row r="255" spans="1:4" x14ac:dyDescent="0.25">
      <c r="A255" s="1" t="str">
        <f t="shared" si="3"/>
        <v>254-FAROFA</v>
      </c>
      <c r="B255" s="1">
        <v>254</v>
      </c>
      <c r="C255" s="1" t="s">
        <v>358</v>
      </c>
      <c r="D255" s="1" t="s">
        <v>341</v>
      </c>
    </row>
    <row r="256" spans="1:4" x14ac:dyDescent="0.25">
      <c r="A256" s="1" t="str">
        <f t="shared" si="3"/>
        <v>255-FAROFA DE OVOS</v>
      </c>
      <c r="B256" s="1">
        <v>255</v>
      </c>
      <c r="C256" s="1" t="s">
        <v>359</v>
      </c>
      <c r="D256" s="1" t="s">
        <v>341</v>
      </c>
    </row>
    <row r="257" spans="1:4" x14ac:dyDescent="0.25">
      <c r="A257" s="1" t="str">
        <f t="shared" si="3"/>
        <v>256-FEIJAO PRETO</v>
      </c>
      <c r="B257" s="1">
        <v>256</v>
      </c>
      <c r="C257" s="1" t="s">
        <v>360</v>
      </c>
      <c r="D257" s="1" t="s">
        <v>341</v>
      </c>
    </row>
    <row r="258" spans="1:4" x14ac:dyDescent="0.25">
      <c r="A258" s="1" t="str">
        <f t="shared" si="3"/>
        <v>257-LINGUICA</v>
      </c>
      <c r="B258" s="1">
        <v>257</v>
      </c>
      <c r="C258" s="1" t="s">
        <v>361</v>
      </c>
      <c r="D258" s="1" t="s">
        <v>341</v>
      </c>
    </row>
    <row r="259" spans="1:4" x14ac:dyDescent="0.25">
      <c r="A259" s="1" t="str">
        <f t="shared" ref="A259:A322" si="4">B259&amp;"-"&amp;C259</f>
        <v>258-MACARRAO G</v>
      </c>
      <c r="B259" s="1">
        <v>258</v>
      </c>
      <c r="C259" s="1" t="s">
        <v>362</v>
      </c>
      <c r="D259" s="1" t="s">
        <v>341</v>
      </c>
    </row>
    <row r="260" spans="1:4" x14ac:dyDescent="0.25">
      <c r="A260" s="1" t="str">
        <f t="shared" si="4"/>
        <v>259-MACARRAO M</v>
      </c>
      <c r="B260" s="1">
        <v>259</v>
      </c>
      <c r="C260" s="1" t="s">
        <v>363</v>
      </c>
      <c r="D260" s="1" t="s">
        <v>341</v>
      </c>
    </row>
    <row r="261" spans="1:4" x14ac:dyDescent="0.25">
      <c r="A261" s="1" t="str">
        <f t="shared" si="4"/>
        <v>260-OMELETE</v>
      </c>
      <c r="B261" s="1">
        <v>260</v>
      </c>
      <c r="C261" s="1" t="s">
        <v>364</v>
      </c>
      <c r="D261" s="1" t="s">
        <v>341</v>
      </c>
    </row>
    <row r="262" spans="1:4" x14ac:dyDescent="0.25">
      <c r="A262" s="1" t="str">
        <f t="shared" si="4"/>
        <v>261-SALADA VERDE G</v>
      </c>
      <c r="B262" s="1">
        <v>261</v>
      </c>
      <c r="C262" s="1" t="s">
        <v>365</v>
      </c>
      <c r="D262" s="1" t="s">
        <v>341</v>
      </c>
    </row>
    <row r="263" spans="1:4" x14ac:dyDescent="0.25">
      <c r="A263" s="1" t="str">
        <f t="shared" si="4"/>
        <v>262-SALADA VERDE M</v>
      </c>
      <c r="B263" s="1">
        <v>262</v>
      </c>
      <c r="C263" s="1" t="s">
        <v>366</v>
      </c>
      <c r="D263" s="1" t="s">
        <v>341</v>
      </c>
    </row>
    <row r="264" spans="1:4" x14ac:dyDescent="0.25">
      <c r="A264" s="1" t="str">
        <f t="shared" si="4"/>
        <v>263-SALPICAO G</v>
      </c>
      <c r="B264" s="1">
        <v>263</v>
      </c>
      <c r="C264" s="1" t="s">
        <v>367</v>
      </c>
      <c r="D264" s="1" t="s">
        <v>341</v>
      </c>
    </row>
    <row r="265" spans="1:4" x14ac:dyDescent="0.25">
      <c r="A265" s="1" t="str">
        <f t="shared" si="4"/>
        <v>264-SALPICAO M</v>
      </c>
      <c r="B265" s="1">
        <v>264</v>
      </c>
      <c r="C265" s="1" t="s">
        <v>368</v>
      </c>
      <c r="D265" s="1" t="s">
        <v>341</v>
      </c>
    </row>
    <row r="266" spans="1:4" x14ac:dyDescent="0.25">
      <c r="A266" s="1" t="str">
        <f t="shared" si="4"/>
        <v>265-VINAGRETE</v>
      </c>
      <c r="B266" s="1">
        <v>265</v>
      </c>
      <c r="C266" s="1" t="s">
        <v>369</v>
      </c>
      <c r="D266" s="1" t="s">
        <v>341</v>
      </c>
    </row>
    <row r="267" spans="1:4" x14ac:dyDescent="0.25">
      <c r="A267" s="1" t="str">
        <f t="shared" si="4"/>
        <v>266-COSTELA SUINA SIMPLES</v>
      </c>
      <c r="B267" s="1">
        <v>266</v>
      </c>
      <c r="C267" s="1" t="s">
        <v>370</v>
      </c>
      <c r="D267" s="1" t="s">
        <v>341</v>
      </c>
    </row>
    <row r="268" spans="1:4" x14ac:dyDescent="0.25">
      <c r="A268" s="1" t="str">
        <f t="shared" si="4"/>
        <v>267-MEIA COSTELA SIMPLES</v>
      </c>
      <c r="B268" s="1">
        <v>267</v>
      </c>
      <c r="C268" s="1" t="s">
        <v>371</v>
      </c>
      <c r="D268" s="1" t="s">
        <v>341</v>
      </c>
    </row>
    <row r="269" spans="1:4" x14ac:dyDescent="0.25">
      <c r="A269" s="1" t="str">
        <f t="shared" si="4"/>
        <v>268-CHURRASCO MISTO SIMPLES</v>
      </c>
      <c r="B269" s="1">
        <v>268</v>
      </c>
      <c r="C269" s="1" t="s">
        <v>372</v>
      </c>
      <c r="D269" s="1" t="s">
        <v>341</v>
      </c>
    </row>
    <row r="270" spans="1:4" x14ac:dyDescent="0.25">
      <c r="A270" s="1" t="str">
        <f t="shared" si="4"/>
        <v>269-MEIO CHURRASCO MISTO SIMPLES</v>
      </c>
      <c r="B270" s="1">
        <v>269</v>
      </c>
      <c r="C270" s="1" t="s">
        <v>373</v>
      </c>
      <c r="D270" s="1" t="s">
        <v>341</v>
      </c>
    </row>
    <row r="271" spans="1:4" x14ac:dyDescent="0.25">
      <c r="A271" s="1" t="str">
        <f t="shared" si="4"/>
        <v>270-MEIO CHURRASCO A GAUCHO SIMPLE</v>
      </c>
      <c r="B271" s="1">
        <v>270</v>
      </c>
      <c r="C271" s="1" t="s">
        <v>374</v>
      </c>
      <c r="D271" s="1" t="s">
        <v>341</v>
      </c>
    </row>
    <row r="272" spans="1:4" x14ac:dyDescent="0.25">
      <c r="A272" s="1" t="str">
        <f t="shared" si="4"/>
        <v>271-PICANHA IMPORTADA SIMPLES</v>
      </c>
      <c r="B272" s="1">
        <v>271</v>
      </c>
      <c r="C272" s="1" t="s">
        <v>375</v>
      </c>
      <c r="D272" s="1" t="s">
        <v>341</v>
      </c>
    </row>
    <row r="273" spans="1:4" x14ac:dyDescent="0.25">
      <c r="A273" s="1" t="str">
        <f t="shared" si="4"/>
        <v>272-MEIA PICANHA IMPORTADA SIMPLES</v>
      </c>
      <c r="B273" s="1">
        <v>272</v>
      </c>
      <c r="C273" s="1" t="s">
        <v>376</v>
      </c>
      <c r="D273" s="1" t="s">
        <v>341</v>
      </c>
    </row>
    <row r="274" spans="1:4" x14ac:dyDescent="0.25">
      <c r="A274" s="1" t="str">
        <f t="shared" si="4"/>
        <v>273-PEIXADA SIMPLES</v>
      </c>
      <c r="B274" s="1">
        <v>273</v>
      </c>
      <c r="C274" s="1" t="s">
        <v>377</v>
      </c>
      <c r="D274" s="1" t="s">
        <v>341</v>
      </c>
    </row>
    <row r="275" spans="1:4" x14ac:dyDescent="0.25">
      <c r="A275" s="1" t="str">
        <f t="shared" si="4"/>
        <v>274-PEIXE NA BRASA SIMPLES</v>
      </c>
      <c r="B275" s="1">
        <v>274</v>
      </c>
      <c r="C275" s="1" t="s">
        <v>378</v>
      </c>
      <c r="D275" s="1" t="s">
        <v>341</v>
      </c>
    </row>
    <row r="276" spans="1:4" x14ac:dyDescent="0.25">
      <c r="A276" s="1" t="str">
        <f t="shared" si="4"/>
        <v>275-PEDACO DE CONTRA FILE</v>
      </c>
      <c r="B276" s="1">
        <v>275</v>
      </c>
      <c r="C276" s="1" t="s">
        <v>379</v>
      </c>
      <c r="D276" s="1" t="s">
        <v>341</v>
      </c>
    </row>
    <row r="277" spans="1:4" x14ac:dyDescent="0.25">
      <c r="A277" s="1" t="str">
        <f t="shared" si="4"/>
        <v>276-PEDACO DE FILE DE PEIXE</v>
      </c>
      <c r="B277" s="1">
        <v>276</v>
      </c>
      <c r="C277" s="1" t="s">
        <v>380</v>
      </c>
      <c r="D277" s="1" t="s">
        <v>341</v>
      </c>
    </row>
    <row r="278" spans="1:4" x14ac:dyDescent="0.25">
      <c r="A278" s="1" t="str">
        <f t="shared" si="4"/>
        <v>277-PEDACO DE FILE MIGNON</v>
      </c>
      <c r="B278" s="1">
        <v>277</v>
      </c>
      <c r="C278" s="1" t="s">
        <v>381</v>
      </c>
      <c r="D278" s="1" t="s">
        <v>341</v>
      </c>
    </row>
    <row r="279" spans="1:4" x14ac:dyDescent="0.25">
      <c r="A279" s="1" t="str">
        <f t="shared" si="4"/>
        <v>278-PEDACO DE FILE DE FRANGO</v>
      </c>
      <c r="B279" s="1">
        <v>278</v>
      </c>
      <c r="C279" s="1" t="s">
        <v>382</v>
      </c>
      <c r="D279" s="1" t="s">
        <v>341</v>
      </c>
    </row>
    <row r="280" spans="1:4" x14ac:dyDescent="0.25">
      <c r="A280" s="1" t="str">
        <f t="shared" si="4"/>
        <v>279-PEDACO DE CARNE SUINA</v>
      </c>
      <c r="B280" s="1">
        <v>279</v>
      </c>
      <c r="C280" s="1" t="s">
        <v>383</v>
      </c>
      <c r="D280" s="1" t="s">
        <v>341</v>
      </c>
    </row>
    <row r="281" spans="1:4" x14ac:dyDescent="0.25">
      <c r="A281" s="1" t="str">
        <f t="shared" si="4"/>
        <v>280-PEDACO DE PICANHA</v>
      </c>
      <c r="B281" s="1">
        <v>280</v>
      </c>
      <c r="C281" s="1" t="s">
        <v>384</v>
      </c>
      <c r="D281" s="1" t="s">
        <v>341</v>
      </c>
    </row>
    <row r="282" spans="1:4" x14ac:dyDescent="0.25">
      <c r="A282" s="1" t="str">
        <f t="shared" si="4"/>
        <v>281-OVO FRITO</v>
      </c>
      <c r="B282" s="1">
        <v>281</v>
      </c>
      <c r="C282" s="1" t="s">
        <v>385</v>
      </c>
      <c r="D282" s="1" t="s">
        <v>341</v>
      </c>
    </row>
    <row r="283" spans="1:4" x14ac:dyDescent="0.25">
      <c r="A283" s="1" t="str">
        <f t="shared" si="4"/>
        <v>282-PURE DE BATATA</v>
      </c>
      <c r="B283" s="1">
        <v>282</v>
      </c>
      <c r="C283" s="1" t="s">
        <v>386</v>
      </c>
      <c r="D283" s="1" t="s">
        <v>341</v>
      </c>
    </row>
    <row r="284" spans="1:4" x14ac:dyDescent="0.25">
      <c r="A284" s="1" t="str">
        <f t="shared" si="4"/>
        <v>283-PIZZA CALABRESA</v>
      </c>
      <c r="B284" s="1">
        <v>283</v>
      </c>
      <c r="C284" s="1" t="s">
        <v>387</v>
      </c>
      <c r="D284" s="1" t="s">
        <v>388</v>
      </c>
    </row>
    <row r="285" spans="1:4" x14ac:dyDescent="0.25">
      <c r="A285" s="1" t="str">
        <f t="shared" si="4"/>
        <v>284-PIZZA FRANGO COM CATUPIRY</v>
      </c>
      <c r="B285" s="1">
        <v>284</v>
      </c>
      <c r="C285" s="1" t="s">
        <v>389</v>
      </c>
      <c r="D285" s="1" t="s">
        <v>388</v>
      </c>
    </row>
    <row r="286" spans="1:4" x14ac:dyDescent="0.25">
      <c r="A286" s="1" t="str">
        <f t="shared" si="4"/>
        <v>285-PIZZA MISTA</v>
      </c>
      <c r="B286" s="1">
        <v>285</v>
      </c>
      <c r="C286" s="1" t="s">
        <v>390</v>
      </c>
      <c r="D286" s="1" t="s">
        <v>388</v>
      </c>
    </row>
    <row r="287" spans="1:4" x14ac:dyDescent="0.25">
      <c r="A287" s="1" t="str">
        <f t="shared" si="4"/>
        <v>286-PIZZA MUSSARELA</v>
      </c>
      <c r="B287" s="1">
        <v>286</v>
      </c>
      <c r="C287" s="1" t="s">
        <v>391</v>
      </c>
      <c r="D287" s="1" t="s">
        <v>388</v>
      </c>
    </row>
    <row r="288" spans="1:4" x14ac:dyDescent="0.25">
      <c r="A288" s="1" t="str">
        <f t="shared" si="4"/>
        <v>287-PIZZA PORTUGUESA</v>
      </c>
      <c r="B288" s="1">
        <v>287</v>
      </c>
      <c r="C288" s="1" t="s">
        <v>392</v>
      </c>
      <c r="D288" s="1" t="s">
        <v>388</v>
      </c>
    </row>
    <row r="289" spans="1:4" x14ac:dyDescent="0.25">
      <c r="A289" s="1" t="str">
        <f t="shared" si="4"/>
        <v>288-BOLO DE POTE</v>
      </c>
      <c r="B289" s="1">
        <v>288</v>
      </c>
      <c r="C289" s="1" t="s">
        <v>393</v>
      </c>
      <c r="D289" s="1" t="s">
        <v>394</v>
      </c>
    </row>
    <row r="290" spans="1:4" x14ac:dyDescent="0.25">
      <c r="A290" s="1" t="str">
        <f t="shared" si="4"/>
        <v>289-BROWNIE</v>
      </c>
      <c r="B290" s="1">
        <v>289</v>
      </c>
      <c r="C290" s="1" t="s">
        <v>395</v>
      </c>
      <c r="D290" s="1" t="s">
        <v>396</v>
      </c>
    </row>
    <row r="291" spans="1:4" x14ac:dyDescent="0.25">
      <c r="A291" s="1" t="str">
        <f t="shared" si="4"/>
        <v>290-BROWNIE COM SORVETE DE CREME</v>
      </c>
      <c r="B291" s="1">
        <v>290</v>
      </c>
      <c r="C291" s="1" t="s">
        <v>397</v>
      </c>
      <c r="D291" s="1" t="s">
        <v>396</v>
      </c>
    </row>
    <row r="292" spans="1:4" x14ac:dyDescent="0.25">
      <c r="A292" s="1" t="str">
        <f t="shared" si="4"/>
        <v>291-DELICIA DE ABACAXI</v>
      </c>
      <c r="B292" s="1">
        <v>291</v>
      </c>
      <c r="C292" s="1" t="s">
        <v>398</v>
      </c>
      <c r="D292" s="1" t="s">
        <v>399</v>
      </c>
    </row>
    <row r="293" spans="1:4" x14ac:dyDescent="0.25">
      <c r="A293" s="1" t="str">
        <f t="shared" si="4"/>
        <v>292-DELICIA DE LIMAO</v>
      </c>
      <c r="B293" s="1">
        <v>292</v>
      </c>
      <c r="C293" s="1" t="s">
        <v>400</v>
      </c>
      <c r="D293" s="1" t="s">
        <v>399</v>
      </c>
    </row>
    <row r="294" spans="1:4" x14ac:dyDescent="0.25">
      <c r="A294" s="1" t="str">
        <f t="shared" si="4"/>
        <v>293-MOUSSE DE MARACUJA</v>
      </c>
      <c r="B294" s="1">
        <v>293</v>
      </c>
      <c r="C294" s="1" t="s">
        <v>401</v>
      </c>
      <c r="D294" s="1" t="s">
        <v>402</v>
      </c>
    </row>
    <row r="295" spans="1:4" x14ac:dyDescent="0.25">
      <c r="A295" s="1" t="str">
        <f t="shared" si="4"/>
        <v>294-MOUSSE DE MORANGO</v>
      </c>
      <c r="B295" s="1">
        <v>294</v>
      </c>
      <c r="C295" s="1" t="s">
        <v>403</v>
      </c>
      <c r="D295" s="1" t="s">
        <v>402</v>
      </c>
    </row>
    <row r="296" spans="1:4" x14ac:dyDescent="0.25">
      <c r="A296" s="1" t="str">
        <f t="shared" si="4"/>
        <v>295-PALHA ITALIANA</v>
      </c>
      <c r="B296" s="1">
        <v>295</v>
      </c>
      <c r="C296" s="1" t="s">
        <v>404</v>
      </c>
      <c r="D296" s="1" t="s">
        <v>394</v>
      </c>
    </row>
    <row r="297" spans="1:4" x14ac:dyDescent="0.25">
      <c r="A297" s="1" t="str">
        <f t="shared" si="4"/>
        <v>296-PUDIM DE LEITE CONDENSADO</v>
      </c>
      <c r="B297" s="1">
        <v>296</v>
      </c>
      <c r="C297" s="1" t="s">
        <v>405</v>
      </c>
      <c r="D297" s="1" t="s">
        <v>406</v>
      </c>
    </row>
    <row r="298" spans="1:4" x14ac:dyDescent="0.25">
      <c r="A298" s="1" t="str">
        <f t="shared" si="4"/>
        <v>297-TRIDENT</v>
      </c>
      <c r="B298" s="1">
        <v>297</v>
      </c>
      <c r="C298" s="1" t="s">
        <v>407</v>
      </c>
      <c r="D298" s="1" t="s">
        <v>408</v>
      </c>
    </row>
    <row r="299" spans="1:4" x14ac:dyDescent="0.25">
      <c r="A299" s="1" t="str">
        <f t="shared" si="4"/>
        <v>298-PICOLE COM COBERTURA</v>
      </c>
      <c r="B299" s="1">
        <v>298</v>
      </c>
      <c r="C299" s="1" t="s">
        <v>409</v>
      </c>
      <c r="D299" s="1" t="s">
        <v>410</v>
      </c>
    </row>
    <row r="300" spans="1:4" x14ac:dyDescent="0.25">
      <c r="A300" s="1" t="str">
        <f t="shared" si="4"/>
        <v>299-PICOLE SEM COBERTURA</v>
      </c>
      <c r="B300" s="1">
        <v>299</v>
      </c>
      <c r="C300" s="1" t="s">
        <v>411</v>
      </c>
      <c r="D300" s="1" t="s">
        <v>410</v>
      </c>
    </row>
    <row r="301" spans="1:4" x14ac:dyDescent="0.25">
      <c r="A301" s="1" t="str">
        <f t="shared" si="4"/>
        <v>300-PICOLE PARDAL SUPRA</v>
      </c>
      <c r="B301" s="1">
        <v>300</v>
      </c>
      <c r="C301" s="1" t="s">
        <v>412</v>
      </c>
      <c r="D301" s="1" t="s">
        <v>410</v>
      </c>
    </row>
    <row r="302" spans="1:4" x14ac:dyDescent="0.25">
      <c r="A302" s="1" t="str">
        <f t="shared" si="4"/>
        <v>301-PICOLE QUICK EXCELLENCE</v>
      </c>
      <c r="B302" s="1">
        <v>301</v>
      </c>
      <c r="C302" s="1" t="s">
        <v>413</v>
      </c>
      <c r="D302" s="1" t="s">
        <v>410</v>
      </c>
    </row>
    <row r="303" spans="1:4" x14ac:dyDescent="0.25">
      <c r="A303" s="1" t="str">
        <f t="shared" si="4"/>
        <v>302-SORVETE PARDAL ORIGINAL</v>
      </c>
      <c r="B303" s="1">
        <v>302</v>
      </c>
      <c r="C303" s="1" t="s">
        <v>414</v>
      </c>
      <c r="D303" s="1" t="s">
        <v>415</v>
      </c>
    </row>
    <row r="304" spans="1:4" x14ac:dyDescent="0.25">
      <c r="A304" s="1" t="str">
        <f t="shared" si="4"/>
        <v>303-SORVETE PARDAL FUN</v>
      </c>
      <c r="B304" s="1">
        <v>303</v>
      </c>
      <c r="C304" s="1" t="s">
        <v>416</v>
      </c>
      <c r="D304" s="1" t="s">
        <v>415</v>
      </c>
    </row>
    <row r="305" spans="1:4" x14ac:dyDescent="0.25">
      <c r="A305" s="1" t="str">
        <f t="shared" si="4"/>
        <v>304-SORVETE QUICK MINI</v>
      </c>
      <c r="B305" s="1">
        <v>304</v>
      </c>
      <c r="C305" s="1" t="s">
        <v>417</v>
      </c>
      <c r="D305" s="1" t="s">
        <v>415</v>
      </c>
    </row>
    <row r="306" spans="1:4" x14ac:dyDescent="0.25">
      <c r="A306" s="1" t="str">
        <f t="shared" si="4"/>
        <v>305-SORVETE QUICK SUNDAY</v>
      </c>
      <c r="B306" s="1">
        <v>305</v>
      </c>
      <c r="C306" s="1" t="s">
        <v>418</v>
      </c>
      <c r="D306" s="1" t="s">
        <v>415</v>
      </c>
    </row>
    <row r="307" spans="1:4" x14ac:dyDescent="0.25">
      <c r="A307" s="1" t="str">
        <f t="shared" si="4"/>
        <v>306-SORVETE QUICK CORNETTO</v>
      </c>
      <c r="B307" s="1">
        <v>306</v>
      </c>
      <c r="C307" s="1" t="s">
        <v>419</v>
      </c>
      <c r="D307" s="1" t="s">
        <v>415</v>
      </c>
    </row>
    <row r="308" spans="1:4" x14ac:dyDescent="0.25">
      <c r="A308" s="1" t="str">
        <f t="shared" si="4"/>
        <v>307-SORVETE QUICK MAIS</v>
      </c>
      <c r="B308" s="1">
        <v>307</v>
      </c>
      <c r="C308" s="1" t="s">
        <v>420</v>
      </c>
      <c r="D308" s="1" t="s">
        <v>415</v>
      </c>
    </row>
    <row r="309" spans="1:4" x14ac:dyDescent="0.25">
      <c r="A309" s="1" t="str">
        <f t="shared" si="4"/>
        <v>308-BATATA RUFFLES</v>
      </c>
      <c r="B309" s="1">
        <v>308</v>
      </c>
      <c r="C309" s="1" t="s">
        <v>421</v>
      </c>
      <c r="D309" s="1" t="s">
        <v>422</v>
      </c>
    </row>
    <row r="310" spans="1:4" x14ac:dyDescent="0.25">
      <c r="A310" s="1" t="str">
        <f t="shared" si="4"/>
        <v>309-BATATA SENSACOES</v>
      </c>
      <c r="B310" s="1">
        <v>309</v>
      </c>
      <c r="C310" s="1" t="s">
        <v>423</v>
      </c>
      <c r="D310" s="1" t="s">
        <v>422</v>
      </c>
    </row>
    <row r="311" spans="1:4" x14ac:dyDescent="0.25">
      <c r="A311" s="1" t="str">
        <f t="shared" si="4"/>
        <v>310-CEBOLITOS</v>
      </c>
      <c r="B311" s="1">
        <v>310</v>
      </c>
      <c r="C311" s="1" t="s">
        <v>424</v>
      </c>
      <c r="D311" s="1" t="s">
        <v>422</v>
      </c>
    </row>
    <row r="312" spans="1:4" x14ac:dyDescent="0.25">
      <c r="A312" s="1" t="str">
        <f t="shared" si="4"/>
        <v>311-CHEETOS</v>
      </c>
      <c r="B312" s="1">
        <v>311</v>
      </c>
      <c r="C312" s="1" t="s">
        <v>425</v>
      </c>
      <c r="D312" s="1" t="s">
        <v>422</v>
      </c>
    </row>
    <row r="313" spans="1:4" x14ac:dyDescent="0.25">
      <c r="A313" s="1" t="str">
        <f t="shared" si="4"/>
        <v>312-DORITOS</v>
      </c>
      <c r="B313" s="1">
        <v>312</v>
      </c>
      <c r="C313" s="1" t="s">
        <v>426</v>
      </c>
      <c r="D313" s="1" t="s">
        <v>422</v>
      </c>
    </row>
    <row r="314" spans="1:4" x14ac:dyDescent="0.25">
      <c r="A314" s="1" t="str">
        <f t="shared" si="4"/>
        <v>313-FANDANGOS</v>
      </c>
      <c r="B314" s="1">
        <v>313</v>
      </c>
      <c r="C314" s="1" t="s">
        <v>427</v>
      </c>
      <c r="D314" s="1" t="s">
        <v>422</v>
      </c>
    </row>
    <row r="315" spans="1:4" x14ac:dyDescent="0.25">
      <c r="A315" s="1" t="str">
        <f t="shared" si="4"/>
        <v>314-TRAVESSA DE SALPICAO G</v>
      </c>
      <c r="B315" s="1">
        <v>314</v>
      </c>
      <c r="C315" s="1" t="s">
        <v>428</v>
      </c>
      <c r="D315" s="1" t="s">
        <v>429</v>
      </c>
    </row>
    <row r="316" spans="1:4" x14ac:dyDescent="0.25">
      <c r="A316" s="1" t="str">
        <f t="shared" si="4"/>
        <v>315-TRAVESSA DE SALPICAO M</v>
      </c>
      <c r="B316" s="1">
        <v>315</v>
      </c>
      <c r="C316" s="1" t="s">
        <v>430</v>
      </c>
      <c r="D316" s="1" t="s">
        <v>429</v>
      </c>
    </row>
    <row r="317" spans="1:4" x14ac:dyDescent="0.25">
      <c r="A317" s="1" t="str">
        <f t="shared" si="4"/>
        <v>316-BUFFET</v>
      </c>
      <c r="B317" s="1">
        <v>316</v>
      </c>
      <c r="C317" s="1" t="s">
        <v>431</v>
      </c>
      <c r="D317" s="1" t="s">
        <v>431</v>
      </c>
    </row>
    <row r="318" spans="1:4" x14ac:dyDescent="0.25">
      <c r="A318" s="1" t="str">
        <f t="shared" si="4"/>
        <v>317-QUENTINHA DE ALUMINIO</v>
      </c>
      <c r="B318" s="1">
        <v>317</v>
      </c>
      <c r="C318" s="1" t="s">
        <v>432</v>
      </c>
      <c r="D318" s="1" t="s">
        <v>433</v>
      </c>
    </row>
    <row r="319" spans="1:4" x14ac:dyDescent="0.25">
      <c r="A319" s="1" t="str">
        <f t="shared" si="4"/>
        <v>318-QUENTINHA DE ISOPOR</v>
      </c>
      <c r="B319" s="1">
        <v>318</v>
      </c>
      <c r="C319" s="1" t="s">
        <v>434</v>
      </c>
      <c r="D319" s="1" t="s">
        <v>433</v>
      </c>
    </row>
    <row r="320" spans="1:4" x14ac:dyDescent="0.25">
      <c r="A320" s="1" t="str">
        <f t="shared" si="4"/>
        <v>319-BANHO</v>
      </c>
      <c r="B320" s="1">
        <v>319</v>
      </c>
      <c r="C320" s="1" t="s">
        <v>435</v>
      </c>
      <c r="D320" s="1" t="s">
        <v>435</v>
      </c>
    </row>
    <row r="321" spans="1:4" x14ac:dyDescent="0.25">
      <c r="A321" s="1" t="str">
        <f t="shared" si="4"/>
        <v>320-HOSPEDAGEM INDIVIDUAL TERREO</v>
      </c>
      <c r="B321" s="1">
        <v>320</v>
      </c>
      <c r="C321" s="1" t="s">
        <v>436</v>
      </c>
      <c r="D321" s="1" t="s">
        <v>437</v>
      </c>
    </row>
    <row r="322" spans="1:4" x14ac:dyDescent="0.25">
      <c r="A322" s="1" t="str">
        <f t="shared" si="4"/>
        <v>321-HOSPEDAGEM INDIVIDUAL 1A</v>
      </c>
      <c r="B322" s="1">
        <v>321</v>
      </c>
      <c r="C322" s="1" t="s">
        <v>438</v>
      </c>
      <c r="D322" s="1" t="s">
        <v>437</v>
      </c>
    </row>
    <row r="323" spans="1:4" x14ac:dyDescent="0.25">
      <c r="A323" s="1" t="str">
        <f t="shared" ref="A323:A386" si="5">B323&amp;"-"&amp;C323</f>
        <v>322-HOSPEDAGEM CASAL TERREO</v>
      </c>
      <c r="B323" s="1">
        <v>322</v>
      </c>
      <c r="C323" s="1" t="s">
        <v>439</v>
      </c>
      <c r="D323" s="1" t="s">
        <v>437</v>
      </c>
    </row>
    <row r="324" spans="1:4" x14ac:dyDescent="0.25">
      <c r="A324" s="1" t="str">
        <f t="shared" si="5"/>
        <v>323-HOSPEDAGEM CASAL 1A</v>
      </c>
      <c r="B324" s="1">
        <v>323</v>
      </c>
      <c r="C324" s="1" t="s">
        <v>440</v>
      </c>
      <c r="D324" s="1" t="s">
        <v>437</v>
      </c>
    </row>
    <row r="325" spans="1:4" x14ac:dyDescent="0.25">
      <c r="A325" s="1" t="str">
        <f t="shared" si="5"/>
        <v>324-HOSPEDAGEM ADIC CRIANCAS</v>
      </c>
      <c r="B325" s="1">
        <v>324</v>
      </c>
      <c r="C325" s="1" t="s">
        <v>441</v>
      </c>
      <c r="D325" s="1" t="s">
        <v>437</v>
      </c>
    </row>
    <row r="326" spans="1:4" x14ac:dyDescent="0.25">
      <c r="A326" s="1" t="str">
        <f t="shared" si="5"/>
        <v>325-HOSPEDAGEM ADIC ADOLESC E ADUL</v>
      </c>
      <c r="B326" s="1">
        <v>325</v>
      </c>
      <c r="C326" s="1" t="s">
        <v>442</v>
      </c>
      <c r="D326" s="1" t="s">
        <v>437</v>
      </c>
    </row>
    <row r="327" spans="1:4" x14ac:dyDescent="0.25">
      <c r="A327" s="1" t="str">
        <f t="shared" si="5"/>
        <v>326-SALPICAO P</v>
      </c>
      <c r="B327" s="1">
        <v>326</v>
      </c>
      <c r="C327" s="1" t="s">
        <v>443</v>
      </c>
      <c r="D327" s="1" t="s">
        <v>341</v>
      </c>
    </row>
    <row r="328" spans="1:4" x14ac:dyDescent="0.25">
      <c r="A328" s="1" t="str">
        <f t="shared" si="5"/>
        <v>327-TRIDENT MENTA</v>
      </c>
      <c r="B328" s="1">
        <v>327</v>
      </c>
      <c r="C328" s="1" t="s">
        <v>444</v>
      </c>
      <c r="D328" s="1" t="s">
        <v>408</v>
      </c>
    </row>
    <row r="329" spans="1:4" x14ac:dyDescent="0.25">
      <c r="A329" s="1" t="str">
        <f t="shared" si="5"/>
        <v>328-CHEETOS BOLA QUEIJO SUICO</v>
      </c>
      <c r="B329" s="1">
        <v>328</v>
      </c>
      <c r="C329" s="1" t="s">
        <v>445</v>
      </c>
      <c r="D329" s="1" t="s">
        <v>422</v>
      </c>
    </row>
    <row r="330" spans="1:4" x14ac:dyDescent="0.25">
      <c r="A330" s="1" t="str">
        <f t="shared" si="5"/>
        <v>329-CHEETOS ONDA REQUEIJAO</v>
      </c>
      <c r="B330" s="1">
        <v>329</v>
      </c>
      <c r="C330" s="1" t="s">
        <v>446</v>
      </c>
      <c r="D330" s="1" t="s">
        <v>422</v>
      </c>
    </row>
    <row r="331" spans="1:4" x14ac:dyDescent="0.25">
      <c r="A331" s="1" t="str">
        <f t="shared" si="5"/>
        <v>330-CHEETOS LUA PARMESAO</v>
      </c>
      <c r="B331" s="1">
        <v>330</v>
      </c>
      <c r="C331" s="1" t="s">
        <v>447</v>
      </c>
      <c r="D331" s="1" t="s">
        <v>422</v>
      </c>
    </row>
    <row r="332" spans="1:4" x14ac:dyDescent="0.25">
      <c r="A332" s="1" t="str">
        <f t="shared" si="5"/>
        <v>331-DORITOS NACHO</v>
      </c>
      <c r="B332" s="1">
        <v>331</v>
      </c>
      <c r="C332" s="1" t="s">
        <v>448</v>
      </c>
      <c r="D332" s="1" t="s">
        <v>422</v>
      </c>
    </row>
    <row r="333" spans="1:4" x14ac:dyDescent="0.25">
      <c r="A333" s="1" t="str">
        <f t="shared" si="5"/>
        <v>332-FANDANGOS PRESUNTO</v>
      </c>
      <c r="B333" s="1">
        <v>332</v>
      </c>
      <c r="C333" s="1" t="s">
        <v>449</v>
      </c>
      <c r="D333" s="1" t="s">
        <v>422</v>
      </c>
    </row>
    <row r="334" spans="1:4" x14ac:dyDescent="0.25">
      <c r="A334" s="1" t="str">
        <f t="shared" si="5"/>
        <v>333-FANDANGOS QUEIJO</v>
      </c>
      <c r="B334" s="1">
        <v>333</v>
      </c>
      <c r="C334" s="1" t="s">
        <v>450</v>
      </c>
      <c r="D334" s="1" t="s">
        <v>422</v>
      </c>
    </row>
    <row r="335" spans="1:4" x14ac:dyDescent="0.25">
      <c r="A335" s="1" t="str">
        <f t="shared" si="5"/>
        <v>334-RUFFLES CEBOLA E SALSA</v>
      </c>
      <c r="B335" s="1">
        <v>334</v>
      </c>
      <c r="C335" s="1" t="s">
        <v>451</v>
      </c>
      <c r="D335" s="1" t="s">
        <v>422</v>
      </c>
    </row>
    <row r="336" spans="1:4" x14ac:dyDescent="0.25">
      <c r="A336" s="1" t="str">
        <f t="shared" si="5"/>
        <v>335-RUFFLES CHURRASCO</v>
      </c>
      <c r="B336" s="1">
        <v>335</v>
      </c>
      <c r="C336" s="1" t="s">
        <v>452</v>
      </c>
      <c r="D336" s="1" t="s">
        <v>422</v>
      </c>
    </row>
    <row r="337" spans="1:4" x14ac:dyDescent="0.25">
      <c r="A337" s="1" t="str">
        <f t="shared" si="5"/>
        <v>336-RUFFLES SAL ORIGINAL</v>
      </c>
      <c r="B337" s="1">
        <v>336</v>
      </c>
      <c r="C337" s="1" t="s">
        <v>453</v>
      </c>
      <c r="D337" s="1" t="s">
        <v>422</v>
      </c>
    </row>
    <row r="338" spans="1:4" x14ac:dyDescent="0.25">
      <c r="A338" s="1" t="str">
        <f t="shared" si="5"/>
        <v>337-SENSACOES FRANGO GRELHADO</v>
      </c>
      <c r="B338" s="1">
        <v>337</v>
      </c>
      <c r="C338" s="1" t="s">
        <v>454</v>
      </c>
      <c r="D338" s="1" t="s">
        <v>422</v>
      </c>
    </row>
    <row r="339" spans="1:4" x14ac:dyDescent="0.25">
      <c r="A339" s="1" t="str">
        <f t="shared" si="5"/>
        <v>338-SENSACOES PEITO DE PERU</v>
      </c>
      <c r="B339" s="1">
        <v>338</v>
      </c>
      <c r="C339" s="1" t="s">
        <v>455</v>
      </c>
      <c r="D339" s="1" t="s">
        <v>422</v>
      </c>
    </row>
    <row r="340" spans="1:4" x14ac:dyDescent="0.25">
      <c r="A340" s="1" t="str">
        <f t="shared" si="5"/>
        <v>339-PICOLE PARDAL CLASS BRIGADEIRO</v>
      </c>
      <c r="B340" s="1">
        <v>339</v>
      </c>
      <c r="C340" s="1" t="s">
        <v>456</v>
      </c>
      <c r="D340" s="1" t="s">
        <v>410</v>
      </c>
    </row>
    <row r="341" spans="1:4" x14ac:dyDescent="0.25">
      <c r="A341" s="1" t="str">
        <f t="shared" si="5"/>
        <v>340-PICOLE PARDAL CLASS CHOCOLATE</v>
      </c>
      <c r="B341" s="1">
        <v>340</v>
      </c>
      <c r="C341" s="1" t="s">
        <v>457</v>
      </c>
      <c r="D341" s="1" t="s">
        <v>410</v>
      </c>
    </row>
    <row r="342" spans="1:4" x14ac:dyDescent="0.25">
      <c r="A342" s="1" t="str">
        <f t="shared" si="5"/>
        <v>341-PICOLE PARDAL CLASS FLOCOS</v>
      </c>
      <c r="B342" s="1">
        <v>341</v>
      </c>
      <c r="C342" s="1" t="s">
        <v>458</v>
      </c>
      <c r="D342" s="1" t="s">
        <v>410</v>
      </c>
    </row>
    <row r="343" spans="1:4" x14ac:dyDescent="0.25">
      <c r="A343" s="1" t="str">
        <f t="shared" si="5"/>
        <v>342-PICOLE PARDAL CLASS MORANGO</v>
      </c>
      <c r="B343" s="1">
        <v>342</v>
      </c>
      <c r="C343" s="1" t="s">
        <v>459</v>
      </c>
      <c r="D343" s="1" t="s">
        <v>410</v>
      </c>
    </row>
    <row r="344" spans="1:4" x14ac:dyDescent="0.25">
      <c r="A344" s="1" t="str">
        <f t="shared" si="5"/>
        <v>343-PICOLE PARDAL ORIG ACAI BANANA</v>
      </c>
      <c r="B344" s="1">
        <v>343</v>
      </c>
      <c r="C344" s="1" t="s">
        <v>460</v>
      </c>
      <c r="D344" s="1" t="s">
        <v>410</v>
      </c>
    </row>
    <row r="345" spans="1:4" x14ac:dyDescent="0.25">
      <c r="A345" s="1" t="str">
        <f t="shared" si="5"/>
        <v>344-PICOLE PARDAL ORIG CAJA</v>
      </c>
      <c r="B345" s="1">
        <v>344</v>
      </c>
      <c r="C345" s="1" t="s">
        <v>461</v>
      </c>
      <c r="D345" s="1" t="s">
        <v>410</v>
      </c>
    </row>
    <row r="346" spans="1:4" x14ac:dyDescent="0.25">
      <c r="A346" s="1" t="str">
        <f t="shared" si="5"/>
        <v>345-PICOLE PARDAL ORIG CASTANHA</v>
      </c>
      <c r="B346" s="1">
        <v>345</v>
      </c>
      <c r="C346" s="1" t="s">
        <v>462</v>
      </c>
      <c r="D346" s="1" t="s">
        <v>410</v>
      </c>
    </row>
    <row r="347" spans="1:4" x14ac:dyDescent="0.25">
      <c r="A347" s="1" t="str">
        <f t="shared" si="5"/>
        <v>346-PICOLE PARDAL ORIG COCO</v>
      </c>
      <c r="B347" s="1">
        <v>346</v>
      </c>
      <c r="C347" s="1" t="s">
        <v>463</v>
      </c>
      <c r="D347" s="1" t="s">
        <v>410</v>
      </c>
    </row>
    <row r="348" spans="1:4" x14ac:dyDescent="0.25">
      <c r="A348" s="1" t="str">
        <f t="shared" si="5"/>
        <v>347-PICOLE PARDAL ORIG MILHO</v>
      </c>
      <c r="B348" s="1">
        <v>347</v>
      </c>
      <c r="C348" s="1" t="s">
        <v>464</v>
      </c>
      <c r="D348" s="1" t="s">
        <v>410</v>
      </c>
    </row>
    <row r="349" spans="1:4" x14ac:dyDescent="0.25">
      <c r="A349" s="1" t="str">
        <f t="shared" si="5"/>
        <v>348-PICOLE PARDAL ORIG TAPIOCA</v>
      </c>
      <c r="B349" s="1">
        <v>348</v>
      </c>
      <c r="C349" s="1" t="s">
        <v>465</v>
      </c>
      <c r="D349" s="1" t="s">
        <v>410</v>
      </c>
    </row>
    <row r="350" spans="1:4" x14ac:dyDescent="0.25">
      <c r="A350" s="1" t="str">
        <f t="shared" si="5"/>
        <v>349-PICOLE PARDAL FUN CHICLETE</v>
      </c>
      <c r="B350" s="1">
        <v>349</v>
      </c>
      <c r="C350" s="1" t="s">
        <v>466</v>
      </c>
      <c r="D350" s="1" t="s">
        <v>410</v>
      </c>
    </row>
    <row r="351" spans="1:4" x14ac:dyDescent="0.25">
      <c r="A351" s="1" t="str">
        <f t="shared" si="5"/>
        <v>350-PICOLE PARDAL FUN DOCE D LEITE</v>
      </c>
      <c r="B351" s="1">
        <v>350</v>
      </c>
      <c r="C351" s="1" t="s">
        <v>467</v>
      </c>
      <c r="D351" s="1" t="s">
        <v>410</v>
      </c>
    </row>
    <row r="352" spans="1:4" x14ac:dyDescent="0.25">
      <c r="A352" s="1" t="str">
        <f t="shared" si="5"/>
        <v>351-PICOLE PARDAL FUN LEITE COND</v>
      </c>
      <c r="B352" s="1">
        <v>351</v>
      </c>
      <c r="C352" s="1" t="s">
        <v>468</v>
      </c>
      <c r="D352" s="1" t="s">
        <v>410</v>
      </c>
    </row>
    <row r="353" spans="1:4" x14ac:dyDescent="0.25">
      <c r="A353" s="1" t="str">
        <f t="shared" si="5"/>
        <v>352-PICOLE PARDAL FUN MOCA LINDA</v>
      </c>
      <c r="B353" s="1">
        <v>352</v>
      </c>
      <c r="C353" s="1" t="s">
        <v>469</v>
      </c>
      <c r="D353" s="1" t="s">
        <v>410</v>
      </c>
    </row>
    <row r="354" spans="1:4" x14ac:dyDescent="0.25">
      <c r="A354" s="1" t="str">
        <f t="shared" si="5"/>
        <v>353-PICOLE PARDAL FUN PEDAC DO CEU</v>
      </c>
      <c r="B354" s="1">
        <v>353</v>
      </c>
      <c r="C354" s="1" t="s">
        <v>470</v>
      </c>
      <c r="D354" s="1" t="s">
        <v>410</v>
      </c>
    </row>
    <row r="355" spans="1:4" x14ac:dyDescent="0.25">
      <c r="A355" s="1" t="str">
        <f t="shared" si="5"/>
        <v>354-PICOLE PARDAL FUN UVA</v>
      </c>
      <c r="B355" s="1">
        <v>354</v>
      </c>
      <c r="C355" s="1" t="s">
        <v>471</v>
      </c>
      <c r="D355" s="1" t="s">
        <v>410</v>
      </c>
    </row>
    <row r="356" spans="1:4" x14ac:dyDescent="0.25">
      <c r="A356" s="1" t="str">
        <f t="shared" si="5"/>
        <v>355-PICOLE PARDAL LIVRE ABACAXI</v>
      </c>
      <c r="B356" s="1">
        <v>355</v>
      </c>
      <c r="C356" s="1" t="s">
        <v>472</v>
      </c>
      <c r="D356" s="1" t="s">
        <v>410</v>
      </c>
    </row>
    <row r="357" spans="1:4" x14ac:dyDescent="0.25">
      <c r="A357" s="1" t="str">
        <f t="shared" si="5"/>
        <v>356-PICOLE PARDAL LIVRE LIMAO</v>
      </c>
      <c r="B357" s="1">
        <v>356</v>
      </c>
      <c r="C357" s="1" t="s">
        <v>473</v>
      </c>
      <c r="D357" s="1" t="s">
        <v>410</v>
      </c>
    </row>
    <row r="358" spans="1:4" x14ac:dyDescent="0.25">
      <c r="A358" s="1" t="str">
        <f t="shared" si="5"/>
        <v>357-PICOLE PARDAL LIVRE MARACUJA</v>
      </c>
      <c r="B358" s="1">
        <v>357</v>
      </c>
      <c r="C358" s="1" t="s">
        <v>474</v>
      </c>
      <c r="D358" s="1" t="s">
        <v>410</v>
      </c>
    </row>
    <row r="359" spans="1:4" x14ac:dyDescent="0.25">
      <c r="A359" s="1" t="str">
        <f t="shared" si="5"/>
        <v>358-PICOLE PARDAL LIVRE TANGERINA</v>
      </c>
      <c r="B359" s="1">
        <v>358</v>
      </c>
      <c r="C359" s="1" t="s">
        <v>475</v>
      </c>
      <c r="D359" s="1" t="s">
        <v>410</v>
      </c>
    </row>
    <row r="360" spans="1:4" x14ac:dyDescent="0.25">
      <c r="A360" s="1" t="str">
        <f t="shared" si="5"/>
        <v>359-PICOLE PARDAL SUPRA ACAI</v>
      </c>
      <c r="B360" s="1">
        <v>359</v>
      </c>
      <c r="C360" s="1" t="s">
        <v>476</v>
      </c>
      <c r="D360" s="1" t="s">
        <v>410</v>
      </c>
    </row>
    <row r="361" spans="1:4" x14ac:dyDescent="0.25">
      <c r="A361" s="1" t="str">
        <f t="shared" si="5"/>
        <v>360-PICOLE PARDAL SUPRA CASTANHA</v>
      </c>
      <c r="B361" s="1">
        <v>360</v>
      </c>
      <c r="C361" s="1" t="s">
        <v>477</v>
      </c>
      <c r="D361" s="1" t="s">
        <v>410</v>
      </c>
    </row>
    <row r="362" spans="1:4" x14ac:dyDescent="0.25">
      <c r="A362" s="1" t="str">
        <f t="shared" si="5"/>
        <v>361-PICOLE PARDAL SUPRA CHOCOLATE</v>
      </c>
      <c r="B362" s="1">
        <v>361</v>
      </c>
      <c r="C362" s="1" t="s">
        <v>478</v>
      </c>
      <c r="D362" s="1" t="s">
        <v>410</v>
      </c>
    </row>
    <row r="363" spans="1:4" x14ac:dyDescent="0.25">
      <c r="A363" s="1" t="str">
        <f t="shared" si="5"/>
        <v>362-PICOLE PARDAL SUPRA CHOC BRANC</v>
      </c>
      <c r="B363" s="1">
        <v>362</v>
      </c>
      <c r="C363" s="1" t="s">
        <v>479</v>
      </c>
      <c r="D363" s="1" t="s">
        <v>410</v>
      </c>
    </row>
    <row r="364" spans="1:4" x14ac:dyDescent="0.25">
      <c r="A364" s="1" t="str">
        <f t="shared" si="5"/>
        <v>363-PICOLE PARDAL SUPRA MOUSSE LIM</v>
      </c>
      <c r="B364" s="1">
        <v>363</v>
      </c>
      <c r="C364" s="1" t="s">
        <v>480</v>
      </c>
      <c r="D364" s="1" t="s">
        <v>410</v>
      </c>
    </row>
    <row r="365" spans="1:4" x14ac:dyDescent="0.25">
      <c r="A365" s="1" t="str">
        <f t="shared" si="5"/>
        <v>364-PICOLE PARDAL SUPRA NAPOLITANO</v>
      </c>
      <c r="B365" s="1">
        <v>364</v>
      </c>
      <c r="C365" s="1" t="s">
        <v>481</v>
      </c>
      <c r="D365" s="1" t="s">
        <v>410</v>
      </c>
    </row>
    <row r="366" spans="1:4" x14ac:dyDescent="0.25">
      <c r="A366" s="1" t="str">
        <f t="shared" si="5"/>
        <v>365-SORV PARDAL CLASS BRIGAD 140ML</v>
      </c>
      <c r="B366" s="1">
        <v>365</v>
      </c>
      <c r="C366" s="1" t="s">
        <v>482</v>
      </c>
      <c r="D366" s="1" t="s">
        <v>415</v>
      </c>
    </row>
    <row r="367" spans="1:4" x14ac:dyDescent="0.25">
      <c r="A367" s="1" t="str">
        <f t="shared" si="5"/>
        <v>366-SORV PARDAL CLASS FLOCOS 140ML</v>
      </c>
      <c r="B367" s="1">
        <v>366</v>
      </c>
      <c r="C367" s="1" t="s">
        <v>483</v>
      </c>
      <c r="D367" s="1" t="s">
        <v>415</v>
      </c>
    </row>
    <row r="368" spans="1:4" x14ac:dyDescent="0.25">
      <c r="A368" s="1" t="str">
        <f t="shared" si="5"/>
        <v>367-SORV PARDAL CLASS MORANG 140ML</v>
      </c>
      <c r="B368" s="1">
        <v>367</v>
      </c>
      <c r="C368" s="1" t="s">
        <v>484</v>
      </c>
      <c r="D368" s="1" t="s">
        <v>415</v>
      </c>
    </row>
    <row r="369" spans="1:4" x14ac:dyDescent="0.25">
      <c r="A369" s="1" t="str">
        <f t="shared" si="5"/>
        <v>368-SORV PARDAL CLASS NAPOLI 140ML</v>
      </c>
      <c r="B369" s="1">
        <v>368</v>
      </c>
      <c r="C369" s="1" t="s">
        <v>485</v>
      </c>
      <c r="D369" s="1" t="s">
        <v>415</v>
      </c>
    </row>
    <row r="370" spans="1:4" x14ac:dyDescent="0.25">
      <c r="A370" s="1" t="str">
        <f t="shared" si="5"/>
        <v>369-SORV PARDAL ORIG CASTAN 140ML</v>
      </c>
      <c r="B370" s="1">
        <v>369</v>
      </c>
      <c r="C370" s="1" t="s">
        <v>486</v>
      </c>
      <c r="D370" s="1" t="s">
        <v>415</v>
      </c>
    </row>
    <row r="371" spans="1:4" x14ac:dyDescent="0.25">
      <c r="A371" s="1" t="str">
        <f t="shared" si="5"/>
        <v>370-SORV PARDAL ORIG CREME P 140ML</v>
      </c>
      <c r="B371" s="1">
        <v>370</v>
      </c>
      <c r="C371" s="1" t="s">
        <v>487</v>
      </c>
      <c r="D371" s="1" t="s">
        <v>415</v>
      </c>
    </row>
    <row r="372" spans="1:4" x14ac:dyDescent="0.25">
      <c r="A372" s="1" t="str">
        <f t="shared" si="5"/>
        <v>371-SORV PARDAL FUN 3 CHOC 140ML</v>
      </c>
      <c r="B372" s="1">
        <v>371</v>
      </c>
      <c r="C372" s="1" t="s">
        <v>488</v>
      </c>
      <c r="D372" s="1" t="s">
        <v>415</v>
      </c>
    </row>
    <row r="373" spans="1:4" x14ac:dyDescent="0.25">
      <c r="A373" s="1" t="str">
        <f t="shared" si="5"/>
        <v>372-SORV PARDAL FUN MENTA 140 ML</v>
      </c>
      <c r="B373" s="1">
        <v>372</v>
      </c>
      <c r="C373" s="1" t="s">
        <v>489</v>
      </c>
      <c r="D373" s="1" t="s">
        <v>415</v>
      </c>
    </row>
    <row r="374" spans="1:4" x14ac:dyDescent="0.25">
      <c r="A374" s="1" t="str">
        <f t="shared" si="5"/>
        <v>373-SORV PARDAL SUNDAE CHOC 140ML</v>
      </c>
      <c r="B374" s="1">
        <v>373</v>
      </c>
      <c r="C374" s="1" t="s">
        <v>490</v>
      </c>
      <c r="D374" s="1" t="s">
        <v>415</v>
      </c>
    </row>
    <row r="375" spans="1:4" x14ac:dyDescent="0.25">
      <c r="A375" s="1" t="str">
        <f t="shared" si="5"/>
        <v>374-SORV PARDAL SUNDAE MORAN 140ML</v>
      </c>
      <c r="B375" s="1">
        <v>374</v>
      </c>
      <c r="C375" s="1" t="s">
        <v>491</v>
      </c>
      <c r="D375" s="1" t="s">
        <v>415</v>
      </c>
    </row>
    <row r="376" spans="1:4" x14ac:dyDescent="0.25">
      <c r="A376" s="1" t="str">
        <f t="shared" si="5"/>
        <v>375-PICOLE QUICK DLEITE CHOCOLATE</v>
      </c>
      <c r="B376" s="1">
        <v>375</v>
      </c>
      <c r="C376" s="1" t="s">
        <v>492</v>
      </c>
      <c r="D376" s="1" t="s">
        <v>410</v>
      </c>
    </row>
    <row r="377" spans="1:4" x14ac:dyDescent="0.25">
      <c r="A377" s="1" t="str">
        <f t="shared" si="5"/>
        <v>376-PICOLE QUICK DLEITE COCO</v>
      </c>
      <c r="B377" s="1">
        <v>376</v>
      </c>
      <c r="C377" s="1" t="s">
        <v>493</v>
      </c>
      <c r="D377" s="1" t="s">
        <v>410</v>
      </c>
    </row>
    <row r="378" spans="1:4" x14ac:dyDescent="0.25">
      <c r="A378" s="1" t="str">
        <f t="shared" si="5"/>
        <v>377-PICOLE QUICK DLEITE LEITE COND</v>
      </c>
      <c r="B378" s="1">
        <v>377</v>
      </c>
      <c r="C378" s="1" t="s">
        <v>494</v>
      </c>
      <c r="D378" s="1" t="s">
        <v>410</v>
      </c>
    </row>
    <row r="379" spans="1:4" x14ac:dyDescent="0.25">
      <c r="A379" s="1" t="str">
        <f t="shared" si="5"/>
        <v>378-PICOLE QUICK DLEITE MORANGO</v>
      </c>
      <c r="B379" s="1">
        <v>378</v>
      </c>
      <c r="C379" s="1" t="s">
        <v>495</v>
      </c>
      <c r="D379" s="1" t="s">
        <v>410</v>
      </c>
    </row>
    <row r="380" spans="1:4" x14ac:dyDescent="0.25">
      <c r="A380" s="1" t="str">
        <f t="shared" si="5"/>
        <v>379-PICOLE QUICK EXC COOKIES E CRE</v>
      </c>
      <c r="B380" s="1">
        <v>379</v>
      </c>
      <c r="C380" s="1" t="s">
        <v>496</v>
      </c>
      <c r="D380" s="1" t="s">
        <v>410</v>
      </c>
    </row>
    <row r="381" spans="1:4" x14ac:dyDescent="0.25">
      <c r="A381" s="1" t="str">
        <f t="shared" si="5"/>
        <v>380-PICOLE QUICK EXC FONDUE DE MOR</v>
      </c>
      <c r="B381" s="1">
        <v>380</v>
      </c>
      <c r="C381" s="1" t="s">
        <v>497</v>
      </c>
      <c r="D381" s="1" t="s">
        <v>410</v>
      </c>
    </row>
    <row r="382" spans="1:4" x14ac:dyDescent="0.25">
      <c r="A382" s="1" t="str">
        <f t="shared" si="5"/>
        <v>381-PICOLE QUICK EXC MARACUJA</v>
      </c>
      <c r="B382" s="1">
        <v>381</v>
      </c>
      <c r="C382" s="1" t="s">
        <v>498</v>
      </c>
      <c r="D382" s="1" t="s">
        <v>410</v>
      </c>
    </row>
    <row r="383" spans="1:4" x14ac:dyDescent="0.25">
      <c r="A383" s="1" t="str">
        <f t="shared" si="5"/>
        <v>382-PICOLE QUICK EXC MORANGO NORDE</v>
      </c>
      <c r="B383" s="1">
        <v>382</v>
      </c>
      <c r="C383" s="1" t="s">
        <v>499</v>
      </c>
      <c r="D383" s="1" t="s">
        <v>410</v>
      </c>
    </row>
    <row r="384" spans="1:4" x14ac:dyDescent="0.25">
      <c r="A384" s="1" t="str">
        <f t="shared" si="5"/>
        <v>383-PICOLE QUICK EXC PETIT GATEAU</v>
      </c>
      <c r="B384" s="1">
        <v>383</v>
      </c>
      <c r="C384" s="1" t="s">
        <v>500</v>
      </c>
      <c r="D384" s="1" t="s">
        <v>410</v>
      </c>
    </row>
    <row r="385" spans="1:4" x14ac:dyDescent="0.25">
      <c r="A385" s="1" t="str">
        <f t="shared" si="5"/>
        <v>384-PICOLE QUICK EXC TRADIC</v>
      </c>
      <c r="B385" s="1">
        <v>384</v>
      </c>
      <c r="C385" s="1" t="s">
        <v>501</v>
      </c>
      <c r="D385" s="1" t="s">
        <v>410</v>
      </c>
    </row>
    <row r="386" spans="1:4" x14ac:dyDescent="0.25">
      <c r="A386" s="1" t="str">
        <f t="shared" si="5"/>
        <v>385-PICOLE QUICK EXOT ACAI LEITE</v>
      </c>
      <c r="B386" s="1">
        <v>385</v>
      </c>
      <c r="C386" s="1" t="s">
        <v>502</v>
      </c>
      <c r="D386" s="1" t="s">
        <v>410</v>
      </c>
    </row>
    <row r="387" spans="1:4" x14ac:dyDescent="0.25">
      <c r="A387" s="1" t="str">
        <f t="shared" ref="A387:A450" si="6">B387&amp;"-"&amp;C387</f>
        <v>386-PICOLE QUICK EXOT CASTA CAJU</v>
      </c>
      <c r="B387" s="1">
        <v>386</v>
      </c>
      <c r="C387" s="1" t="s">
        <v>503</v>
      </c>
      <c r="D387" s="1" t="s">
        <v>410</v>
      </c>
    </row>
    <row r="388" spans="1:4" x14ac:dyDescent="0.25">
      <c r="A388" s="1" t="str">
        <f t="shared" si="6"/>
        <v>387-PICOLE QUICK EXOT CUSCUZ LEITE</v>
      </c>
      <c r="B388" s="1">
        <v>387</v>
      </c>
      <c r="C388" s="1" t="s">
        <v>504</v>
      </c>
      <c r="D388" s="1" t="s">
        <v>410</v>
      </c>
    </row>
    <row r="389" spans="1:4" x14ac:dyDescent="0.25">
      <c r="A389" s="1" t="str">
        <f t="shared" si="6"/>
        <v>388-PICOLE QUICK EXOT TAPIOCA</v>
      </c>
      <c r="B389" s="1">
        <v>388</v>
      </c>
      <c r="C389" s="1" t="s">
        <v>505</v>
      </c>
      <c r="D389" s="1" t="s">
        <v>410</v>
      </c>
    </row>
    <row r="390" spans="1:4" x14ac:dyDescent="0.25">
      <c r="A390" s="1" t="str">
        <f t="shared" si="6"/>
        <v>389-PICOLE QUICK TRAD BEL LACK</v>
      </c>
      <c r="B390" s="1">
        <v>389</v>
      </c>
      <c r="C390" s="1" t="s">
        <v>506</v>
      </c>
      <c r="D390" s="1" t="s">
        <v>410</v>
      </c>
    </row>
    <row r="391" spans="1:4" x14ac:dyDescent="0.25">
      <c r="A391" s="1" t="str">
        <f t="shared" si="6"/>
        <v>390-PICOLE QUICK TRAD BRIGADEIRO</v>
      </c>
      <c r="B391" s="1">
        <v>390</v>
      </c>
      <c r="C391" s="1" t="s">
        <v>507</v>
      </c>
      <c r="D391" s="1" t="s">
        <v>410</v>
      </c>
    </row>
    <row r="392" spans="1:4" x14ac:dyDescent="0.25">
      <c r="A392" s="1" t="str">
        <f t="shared" si="6"/>
        <v>391-PICOLE QUICK TRAD CHOCOBARRA</v>
      </c>
      <c r="B392" s="1">
        <v>391</v>
      </c>
      <c r="C392" s="1" t="s">
        <v>508</v>
      </c>
      <c r="D392" s="1" t="s">
        <v>410</v>
      </c>
    </row>
    <row r="393" spans="1:4" x14ac:dyDescent="0.25">
      <c r="A393" s="1" t="str">
        <f t="shared" si="6"/>
        <v>392-PICOLE QUICK TRAD NINHO TRUFAD</v>
      </c>
      <c r="B393" s="1">
        <v>392</v>
      </c>
      <c r="C393" s="1" t="s">
        <v>509</v>
      </c>
      <c r="D393" s="1" t="s">
        <v>410</v>
      </c>
    </row>
    <row r="394" spans="1:4" x14ac:dyDescent="0.25">
      <c r="A394" s="1" t="str">
        <f t="shared" si="6"/>
        <v>393-PICOLE QUICK TRAD SKIMO</v>
      </c>
      <c r="B394" s="1">
        <v>393</v>
      </c>
      <c r="C394" s="1" t="s">
        <v>510</v>
      </c>
      <c r="D394" s="1" t="s">
        <v>410</v>
      </c>
    </row>
    <row r="395" spans="1:4" x14ac:dyDescent="0.25">
      <c r="A395" s="1" t="str">
        <f t="shared" si="6"/>
        <v>394-PICOLE QUICK TRAD SUBLIME</v>
      </c>
      <c r="B395" s="1">
        <v>394</v>
      </c>
      <c r="C395" s="1" t="s">
        <v>511</v>
      </c>
      <c r="D395" s="1" t="s">
        <v>410</v>
      </c>
    </row>
    <row r="396" spans="1:4" x14ac:dyDescent="0.25">
      <c r="A396" s="1" t="str">
        <f t="shared" si="6"/>
        <v>395-SORV QUICK CONE BRIGADEIRO</v>
      </c>
      <c r="B396" s="1">
        <v>395</v>
      </c>
      <c r="C396" s="1" t="s">
        <v>512</v>
      </c>
      <c r="D396" s="1" t="s">
        <v>415</v>
      </c>
    </row>
    <row r="397" spans="1:4" x14ac:dyDescent="0.25">
      <c r="A397" s="1" t="str">
        <f t="shared" si="6"/>
        <v>396-SORV QUICK CONE FLOCOS</v>
      </c>
      <c r="B397" s="1">
        <v>396</v>
      </c>
      <c r="C397" s="1" t="s">
        <v>513</v>
      </c>
      <c r="D397" s="1" t="s">
        <v>415</v>
      </c>
    </row>
    <row r="398" spans="1:4" x14ac:dyDescent="0.25">
      <c r="A398" s="1" t="str">
        <f t="shared" si="6"/>
        <v>397-SORV QUICK MAIS BAUNILHA</v>
      </c>
      <c r="B398" s="1">
        <v>397</v>
      </c>
      <c r="C398" s="1" t="s">
        <v>514</v>
      </c>
      <c r="D398" s="1" t="s">
        <v>415</v>
      </c>
    </row>
    <row r="399" spans="1:4" x14ac:dyDescent="0.25">
      <c r="A399" s="1" t="str">
        <f t="shared" si="6"/>
        <v>398-SORV QUICK MAIS BOMBOM</v>
      </c>
      <c r="B399" s="1">
        <v>398</v>
      </c>
      <c r="C399" s="1" t="s">
        <v>515</v>
      </c>
      <c r="D399" s="1" t="s">
        <v>415</v>
      </c>
    </row>
    <row r="400" spans="1:4" x14ac:dyDescent="0.25">
      <c r="A400" s="1" t="str">
        <f t="shared" si="6"/>
        <v>399-SORV QUICK MAIS MORANGO</v>
      </c>
      <c r="B400" s="1">
        <v>399</v>
      </c>
      <c r="C400" s="1" t="s">
        <v>516</v>
      </c>
      <c r="D400" s="1" t="s">
        <v>415</v>
      </c>
    </row>
    <row r="401" spans="1:4" x14ac:dyDescent="0.25">
      <c r="A401" s="1" t="str">
        <f t="shared" si="6"/>
        <v>400-SORV QUICK MINICUP FLOCOS</v>
      </c>
      <c r="B401" s="1">
        <v>400</v>
      </c>
      <c r="C401" s="1" t="s">
        <v>517</v>
      </c>
      <c r="D401" s="1" t="s">
        <v>415</v>
      </c>
    </row>
    <row r="402" spans="1:4" x14ac:dyDescent="0.25">
      <c r="A402" s="1" t="str">
        <f t="shared" si="6"/>
        <v>401-SORV QUICK MINICUP LEITE CONDE</v>
      </c>
      <c r="B402" s="1">
        <v>401</v>
      </c>
      <c r="C402" s="1" t="s">
        <v>518</v>
      </c>
      <c r="D402" s="1" t="s">
        <v>415</v>
      </c>
    </row>
    <row r="403" spans="1:4" x14ac:dyDescent="0.25">
      <c r="A403" s="1" t="str">
        <f t="shared" si="6"/>
        <v>402-SORV QUICK MINICUP MORANGO</v>
      </c>
      <c r="B403" s="1">
        <v>402</v>
      </c>
      <c r="C403" s="1" t="s">
        <v>519</v>
      </c>
      <c r="D403" s="1" t="s">
        <v>415</v>
      </c>
    </row>
    <row r="404" spans="1:4" x14ac:dyDescent="0.25">
      <c r="A404" s="1" t="str">
        <f t="shared" si="6"/>
        <v>403-SORV QUICK SUNDAE BAUNILHA</v>
      </c>
      <c r="B404" s="1">
        <v>403</v>
      </c>
      <c r="C404" s="1" t="s">
        <v>520</v>
      </c>
      <c r="D404" s="1" t="s">
        <v>415</v>
      </c>
    </row>
    <row r="405" spans="1:4" x14ac:dyDescent="0.25">
      <c r="A405" s="1" t="str">
        <f t="shared" si="6"/>
        <v>404-SORV QUICK SUNDAE BOMBOM</v>
      </c>
      <c r="B405" s="1">
        <v>404</v>
      </c>
      <c r="C405" s="1" t="s">
        <v>521</v>
      </c>
      <c r="D405" s="1" t="s">
        <v>415</v>
      </c>
    </row>
    <row r="406" spans="1:4" x14ac:dyDescent="0.25">
      <c r="A406" s="1" t="str">
        <f t="shared" si="6"/>
        <v>405-SORV QUICK SUNDAE MORANGO</v>
      </c>
      <c r="B406" s="1">
        <v>405</v>
      </c>
      <c r="C406" s="1" t="s">
        <v>522</v>
      </c>
      <c r="D406" s="1" t="s">
        <v>415</v>
      </c>
    </row>
    <row r="407" spans="1:4" x14ac:dyDescent="0.25">
      <c r="A407" s="1" t="str">
        <f t="shared" si="6"/>
        <v>406-CAIPIVODKA PISCINAO</v>
      </c>
      <c r="B407" s="1">
        <v>406</v>
      </c>
      <c r="C407" s="1" t="s">
        <v>523</v>
      </c>
      <c r="D407" s="1" t="s">
        <v>136</v>
      </c>
    </row>
    <row r="408" spans="1:4" x14ac:dyDescent="0.25">
      <c r="A408" s="1" t="str">
        <f t="shared" si="6"/>
        <v>407-COQUETEL COM ALCOOL ABACAXI</v>
      </c>
      <c r="B408" s="1">
        <v>407</v>
      </c>
      <c r="C408" s="1" t="s">
        <v>524</v>
      </c>
      <c r="D408" s="1" t="s">
        <v>143</v>
      </c>
    </row>
    <row r="409" spans="1:4" x14ac:dyDescent="0.25">
      <c r="A409" s="1" t="str">
        <f t="shared" si="6"/>
        <v>408-COQUETEL COM ALCOOL LIMAO</v>
      </c>
      <c r="B409" s="1">
        <v>408</v>
      </c>
      <c r="C409" s="1" t="s">
        <v>525</v>
      </c>
      <c r="D409" s="1" t="s">
        <v>143</v>
      </c>
    </row>
    <row r="410" spans="1:4" x14ac:dyDescent="0.25">
      <c r="A410" s="1" t="str">
        <f t="shared" si="6"/>
        <v>409-COQUETEL COM ALCOOL MARACUJA</v>
      </c>
      <c r="B410" s="1">
        <v>409</v>
      </c>
      <c r="C410" s="1" t="s">
        <v>526</v>
      </c>
      <c r="D410" s="1" t="s">
        <v>143</v>
      </c>
    </row>
    <row r="411" spans="1:4" x14ac:dyDescent="0.25">
      <c r="A411" s="1" t="str">
        <f t="shared" si="6"/>
        <v>410-COQUETEL COM ALCOOL MORANGO</v>
      </c>
      <c r="B411" s="1">
        <v>410</v>
      </c>
      <c r="C411" s="1" t="s">
        <v>527</v>
      </c>
      <c r="D411" s="1" t="s">
        <v>143</v>
      </c>
    </row>
    <row r="412" spans="1:4" x14ac:dyDescent="0.25">
      <c r="A412" s="1" t="str">
        <f t="shared" si="6"/>
        <v>411-COQUETEL SEM ALCOOL ABACAXI</v>
      </c>
      <c r="B412" s="1">
        <v>411</v>
      </c>
      <c r="C412" s="1" t="s">
        <v>528</v>
      </c>
      <c r="D412" s="1" t="s">
        <v>83</v>
      </c>
    </row>
    <row r="413" spans="1:4" x14ac:dyDescent="0.25">
      <c r="A413" s="1" t="str">
        <f t="shared" si="6"/>
        <v>412-COQUETEL SEM ALCOOL LIMAO</v>
      </c>
      <c r="B413" s="1">
        <v>412</v>
      </c>
      <c r="C413" s="1" t="s">
        <v>529</v>
      </c>
      <c r="D413" s="1" t="s">
        <v>83</v>
      </c>
    </row>
    <row r="414" spans="1:4" x14ac:dyDescent="0.25">
      <c r="A414" s="1" t="str">
        <f t="shared" si="6"/>
        <v>413-COQUETEL SEM ALCOOL MARACUJA</v>
      </c>
      <c r="B414" s="1">
        <v>413</v>
      </c>
      <c r="C414" s="1" t="s">
        <v>530</v>
      </c>
      <c r="D414" s="1" t="s">
        <v>83</v>
      </c>
    </row>
    <row r="415" spans="1:4" x14ac:dyDescent="0.25">
      <c r="A415" s="1" t="str">
        <f t="shared" si="6"/>
        <v>414-COQUETEL SEM ALCOOL MORANGO</v>
      </c>
      <c r="B415" s="1">
        <v>414</v>
      </c>
      <c r="C415" s="1" t="s">
        <v>531</v>
      </c>
      <c r="D415" s="1" t="s">
        <v>83</v>
      </c>
    </row>
    <row r="416" spans="1:4" x14ac:dyDescent="0.25">
      <c r="A416" s="1" t="str">
        <f t="shared" si="6"/>
        <v>415-CUSCUZ</v>
      </c>
      <c r="B416" s="1">
        <v>415</v>
      </c>
      <c r="C416" s="1" t="s">
        <v>532</v>
      </c>
      <c r="D416" s="1" t="s">
        <v>533</v>
      </c>
    </row>
    <row r="417" spans="1:4" x14ac:dyDescent="0.25">
      <c r="A417" s="1" t="str">
        <f t="shared" si="6"/>
        <v>416-FATIA DE BOLO COMUM</v>
      </c>
      <c r="B417" s="1">
        <v>416</v>
      </c>
      <c r="C417" s="1" t="s">
        <v>534</v>
      </c>
      <c r="D417" s="1" t="s">
        <v>533</v>
      </c>
    </row>
    <row r="418" spans="1:4" x14ac:dyDescent="0.25">
      <c r="A418" s="1" t="str">
        <f t="shared" si="6"/>
        <v>417-FATIA DE MAMAO</v>
      </c>
      <c r="B418" s="1">
        <v>417</v>
      </c>
      <c r="C418" s="1" t="s">
        <v>535</v>
      </c>
      <c r="D418" s="1" t="s">
        <v>533</v>
      </c>
    </row>
    <row r="419" spans="1:4" x14ac:dyDescent="0.25">
      <c r="A419" s="1" t="str">
        <f t="shared" si="6"/>
        <v>418-FATIA DE MELAO</v>
      </c>
      <c r="B419" s="1">
        <v>418</v>
      </c>
      <c r="C419" s="1" t="s">
        <v>536</v>
      </c>
      <c r="D419" s="1" t="s">
        <v>533</v>
      </c>
    </row>
    <row r="420" spans="1:4" x14ac:dyDescent="0.25">
      <c r="A420" s="1" t="str">
        <f t="shared" si="6"/>
        <v>419-FATIA DE PRESUNTO</v>
      </c>
      <c r="B420" s="1">
        <v>419</v>
      </c>
      <c r="C420" s="1" t="s">
        <v>537</v>
      </c>
      <c r="D420" s="1" t="s">
        <v>533</v>
      </c>
    </row>
    <row r="421" spans="1:4" x14ac:dyDescent="0.25">
      <c r="A421" s="1" t="str">
        <f t="shared" si="6"/>
        <v>420-FATIA DE QUEIJO COALHO</v>
      </c>
      <c r="B421" s="1">
        <v>420</v>
      </c>
      <c r="C421" s="1" t="s">
        <v>538</v>
      </c>
      <c r="D421" s="1" t="s">
        <v>533</v>
      </c>
    </row>
    <row r="422" spans="1:4" x14ac:dyDescent="0.25">
      <c r="A422" s="1" t="str">
        <f t="shared" si="6"/>
        <v>421-PAO COMUM</v>
      </c>
      <c r="B422" s="1">
        <v>421</v>
      </c>
      <c r="C422" s="1" t="s">
        <v>539</v>
      </c>
      <c r="D422" s="1" t="s">
        <v>533</v>
      </c>
    </row>
    <row r="423" spans="1:4" x14ac:dyDescent="0.25">
      <c r="A423" s="1" t="str">
        <f t="shared" si="6"/>
        <v>422-TAPIOCA</v>
      </c>
      <c r="B423" s="1">
        <v>422</v>
      </c>
      <c r="C423" s="1" t="s">
        <v>540</v>
      </c>
      <c r="D423" s="1" t="s">
        <v>533</v>
      </c>
    </row>
    <row r="424" spans="1:4" x14ac:dyDescent="0.25">
      <c r="A424" s="1" t="str">
        <f t="shared" si="6"/>
        <v>423-XICARA DE CAFE</v>
      </c>
      <c r="B424" s="1">
        <v>423</v>
      </c>
      <c r="C424" s="1" t="s">
        <v>541</v>
      </c>
      <c r="D424" s="1" t="s">
        <v>533</v>
      </c>
    </row>
    <row r="425" spans="1:4" x14ac:dyDescent="0.25">
      <c r="A425" s="1" t="str">
        <f t="shared" si="6"/>
        <v>424-XICARA DE LEITE</v>
      </c>
      <c r="B425" s="1">
        <v>424</v>
      </c>
      <c r="C425" s="1" t="s">
        <v>542</v>
      </c>
      <c r="D425" s="1" t="s">
        <v>533</v>
      </c>
    </row>
    <row r="426" spans="1:4" x14ac:dyDescent="0.25">
      <c r="A426" s="1" t="str">
        <f t="shared" si="6"/>
        <v>425-GIN ROCKS GF</v>
      </c>
      <c r="B426" s="1">
        <v>425</v>
      </c>
      <c r="C426" s="1" t="s">
        <v>543</v>
      </c>
      <c r="D426" s="1" t="s">
        <v>175</v>
      </c>
    </row>
    <row r="427" spans="1:4" x14ac:dyDescent="0.25">
      <c r="A427" s="1" t="str">
        <f t="shared" si="6"/>
        <v>426-LICOR CREME DE MENTA GF</v>
      </c>
      <c r="B427" s="1">
        <v>426</v>
      </c>
      <c r="C427" s="1" t="s">
        <v>544</v>
      </c>
      <c r="D427" s="1" t="s">
        <v>179</v>
      </c>
    </row>
    <row r="428" spans="1:4" x14ac:dyDescent="0.25">
      <c r="A428" s="1" t="str">
        <f t="shared" si="6"/>
        <v>427-LICOR CURACAU BLUE GF</v>
      </c>
      <c r="B428" s="1">
        <v>427</v>
      </c>
      <c r="C428" s="1" t="s">
        <v>545</v>
      </c>
      <c r="D428" s="1" t="s">
        <v>179</v>
      </c>
    </row>
    <row r="429" spans="1:4" x14ac:dyDescent="0.25">
      <c r="A429" s="1" t="str">
        <f t="shared" si="6"/>
        <v>428-RUM BACARDI GF</v>
      </c>
      <c r="B429" s="1">
        <v>428</v>
      </c>
      <c r="C429" s="1" t="s">
        <v>546</v>
      </c>
      <c r="D429" s="1" t="s">
        <v>187</v>
      </c>
    </row>
    <row r="430" spans="1:4" x14ac:dyDescent="0.25">
      <c r="A430" s="1" t="str">
        <f t="shared" si="6"/>
        <v>429-carne de sol mp</v>
      </c>
      <c r="B430" s="1">
        <v>429</v>
      </c>
      <c r="C430" s="1" t="s">
        <v>547</v>
      </c>
      <c r="D430" s="1" t="s">
        <v>548</v>
      </c>
    </row>
    <row r="431" spans="1:4" x14ac:dyDescent="0.25">
      <c r="A431" s="1" t="str">
        <f t="shared" si="6"/>
        <v>430-contra file mp</v>
      </c>
      <c r="B431" s="1">
        <v>430</v>
      </c>
      <c r="C431" s="1" t="s">
        <v>549</v>
      </c>
      <c r="D431" s="1" t="s">
        <v>548</v>
      </c>
    </row>
    <row r="432" spans="1:4" x14ac:dyDescent="0.25">
      <c r="A432" s="1" t="str">
        <f t="shared" si="6"/>
        <v>431-cordao do file mignon mp</v>
      </c>
      <c r="B432" s="1">
        <v>431</v>
      </c>
      <c r="C432" s="1" t="s">
        <v>550</v>
      </c>
      <c r="D432" s="1" t="s">
        <v>548</v>
      </c>
    </row>
    <row r="433" spans="1:4" x14ac:dyDescent="0.25">
      <c r="A433" s="1" t="str">
        <f t="shared" si="6"/>
        <v>432-file mignon mp</v>
      </c>
      <c r="B433" s="1">
        <v>432</v>
      </c>
      <c r="C433" s="1" t="s">
        <v>551</v>
      </c>
      <c r="D433" s="1" t="s">
        <v>548</v>
      </c>
    </row>
    <row r="434" spans="1:4" x14ac:dyDescent="0.25">
      <c r="A434" s="1" t="str">
        <f t="shared" si="6"/>
        <v>433-fraldinha mp</v>
      </c>
      <c r="B434" s="1">
        <v>433</v>
      </c>
      <c r="C434" s="1" t="s">
        <v>552</v>
      </c>
      <c r="D434" s="1" t="s">
        <v>548</v>
      </c>
    </row>
    <row r="435" spans="1:4" x14ac:dyDescent="0.25">
      <c r="A435" s="1" t="str">
        <f t="shared" si="6"/>
        <v>434-picanha importada mp</v>
      </c>
      <c r="B435" s="1">
        <v>434</v>
      </c>
      <c r="C435" s="1" t="s">
        <v>553</v>
      </c>
      <c r="D435" s="1" t="s">
        <v>548</v>
      </c>
    </row>
    <row r="436" spans="1:4" x14ac:dyDescent="0.25">
      <c r="A436" s="1" t="str">
        <f t="shared" si="6"/>
        <v>435-agua para producao mp</v>
      </c>
      <c r="B436" s="1">
        <v>435</v>
      </c>
      <c r="C436" s="1" t="s">
        <v>554</v>
      </c>
      <c r="D436" s="1" t="s">
        <v>555</v>
      </c>
    </row>
    <row r="437" spans="1:4" x14ac:dyDescent="0.25">
      <c r="A437" s="1" t="str">
        <f t="shared" si="6"/>
        <v>436-batata pre frita mp</v>
      </c>
      <c r="B437" s="1">
        <v>436</v>
      </c>
      <c r="C437" s="1" t="s">
        <v>556</v>
      </c>
      <c r="D437" s="1" t="s">
        <v>557</v>
      </c>
    </row>
    <row r="438" spans="1:4" x14ac:dyDescent="0.25">
      <c r="A438" s="1" t="str">
        <f t="shared" si="6"/>
        <v>437-alcaparra mp</v>
      </c>
      <c r="B438" s="1">
        <v>437</v>
      </c>
      <c r="C438" s="1" t="s">
        <v>558</v>
      </c>
      <c r="D438" s="1" t="s">
        <v>559</v>
      </c>
    </row>
    <row r="439" spans="1:4" x14ac:dyDescent="0.25">
      <c r="A439" s="1" t="str">
        <f t="shared" si="6"/>
        <v>438-cogumelo champignon mp</v>
      </c>
      <c r="B439" s="1">
        <v>438</v>
      </c>
      <c r="C439" s="1" t="s">
        <v>560</v>
      </c>
      <c r="D439" s="1" t="s">
        <v>559</v>
      </c>
    </row>
    <row r="440" spans="1:4" x14ac:dyDescent="0.25">
      <c r="A440" s="1" t="str">
        <f t="shared" si="6"/>
        <v>439-fiambre mp</v>
      </c>
      <c r="B440" s="1">
        <v>439</v>
      </c>
      <c r="C440" s="1" t="s">
        <v>561</v>
      </c>
      <c r="D440" s="1" t="s">
        <v>562</v>
      </c>
    </row>
    <row r="441" spans="1:4" x14ac:dyDescent="0.25">
      <c r="A441" s="1" t="str">
        <f t="shared" si="6"/>
        <v>440-lanche apresuntado mp</v>
      </c>
      <c r="B441" s="1">
        <v>440</v>
      </c>
      <c r="C441" s="1" t="s">
        <v>563</v>
      </c>
      <c r="D441" s="1" t="s">
        <v>562</v>
      </c>
    </row>
    <row r="442" spans="1:4" x14ac:dyDescent="0.25">
      <c r="A442" s="1" t="str">
        <f t="shared" si="6"/>
        <v>441-linguica calabresa mp</v>
      </c>
      <c r="B442" s="1">
        <v>441</v>
      </c>
      <c r="C442" s="1" t="s">
        <v>564</v>
      </c>
      <c r="D442" s="1" t="s">
        <v>562</v>
      </c>
    </row>
    <row r="443" spans="1:4" x14ac:dyDescent="0.25">
      <c r="A443" s="1" t="str">
        <f t="shared" si="6"/>
        <v>442-linguica suina mp</v>
      </c>
      <c r="B443" s="1">
        <v>442</v>
      </c>
      <c r="C443" s="1" t="s">
        <v>565</v>
      </c>
      <c r="D443" s="1" t="s">
        <v>562</v>
      </c>
    </row>
    <row r="444" spans="1:4" x14ac:dyDescent="0.25">
      <c r="A444" s="1" t="str">
        <f t="shared" si="6"/>
        <v>443-presunto de peru mp</v>
      </c>
      <c r="B444" s="1">
        <v>443</v>
      </c>
      <c r="C444" s="1" t="s">
        <v>566</v>
      </c>
      <c r="D444" s="1" t="s">
        <v>562</v>
      </c>
    </row>
    <row r="445" spans="1:4" x14ac:dyDescent="0.25">
      <c r="A445" s="1" t="str">
        <f t="shared" si="6"/>
        <v>444-salsicha mp</v>
      </c>
      <c r="B445" s="1">
        <v>444</v>
      </c>
      <c r="C445" s="1" t="s">
        <v>567</v>
      </c>
      <c r="D445" s="1" t="s">
        <v>562</v>
      </c>
    </row>
    <row r="446" spans="1:4" x14ac:dyDescent="0.25">
      <c r="A446" s="1" t="str">
        <f t="shared" si="6"/>
        <v>445-coxa e sobrecoxa mp</v>
      </c>
      <c r="B446" s="1">
        <v>445</v>
      </c>
      <c r="C446" s="1" t="s">
        <v>568</v>
      </c>
      <c r="D446" s="1" t="s">
        <v>569</v>
      </c>
    </row>
    <row r="447" spans="1:4" x14ac:dyDescent="0.25">
      <c r="A447" s="1" t="str">
        <f t="shared" si="6"/>
        <v>446-file de peito de frango mp</v>
      </c>
      <c r="B447" s="1">
        <v>446</v>
      </c>
      <c r="C447" s="1" t="s">
        <v>570</v>
      </c>
      <c r="D447" s="1" t="s">
        <v>569</v>
      </c>
    </row>
    <row r="448" spans="1:4" x14ac:dyDescent="0.25">
      <c r="A448" s="1" t="str">
        <f t="shared" si="6"/>
        <v>447-frango inteiro mp</v>
      </c>
      <c r="B448" s="1">
        <v>447</v>
      </c>
      <c r="C448" s="1" t="s">
        <v>571</v>
      </c>
      <c r="D448" s="1" t="s">
        <v>569</v>
      </c>
    </row>
    <row r="449" spans="1:4" x14ac:dyDescent="0.25">
      <c r="A449" s="1" t="str">
        <f t="shared" si="6"/>
        <v>448-galinha inteira mp</v>
      </c>
      <c r="B449" s="1">
        <v>448</v>
      </c>
      <c r="C449" s="1" t="s">
        <v>572</v>
      </c>
      <c r="D449" s="1" t="s">
        <v>569</v>
      </c>
    </row>
    <row r="450" spans="1:4" x14ac:dyDescent="0.25">
      <c r="A450" s="1" t="str">
        <f t="shared" si="6"/>
        <v>449-ovo mp</v>
      </c>
      <c r="B450" s="1">
        <v>449</v>
      </c>
      <c r="C450" s="1" t="s">
        <v>573</v>
      </c>
      <c r="D450" s="1" t="s">
        <v>569</v>
      </c>
    </row>
    <row r="451" spans="1:4" x14ac:dyDescent="0.25">
      <c r="A451" s="1" t="str">
        <f t="shared" ref="A451:A514" si="7">B451&amp;"-"&amp;C451</f>
        <v>450-coentro mp</v>
      </c>
      <c r="B451" s="1">
        <v>450</v>
      </c>
      <c r="C451" s="1" t="s">
        <v>574</v>
      </c>
      <c r="D451" s="1" t="s">
        <v>575</v>
      </c>
    </row>
    <row r="452" spans="1:4" x14ac:dyDescent="0.25">
      <c r="A452" s="1" t="str">
        <f t="shared" si="7"/>
        <v>451-mamao mp</v>
      </c>
      <c r="B452" s="1">
        <v>451</v>
      </c>
      <c r="C452" s="1" t="s">
        <v>576</v>
      </c>
      <c r="D452" s="1" t="s">
        <v>575</v>
      </c>
    </row>
    <row r="453" spans="1:4" x14ac:dyDescent="0.25">
      <c r="A453" s="1" t="str">
        <f t="shared" si="7"/>
        <v>452-melao mp</v>
      </c>
      <c r="B453" s="1">
        <v>452</v>
      </c>
      <c r="C453" s="1" t="s">
        <v>577</v>
      </c>
      <c r="D453" s="1" t="s">
        <v>575</v>
      </c>
    </row>
    <row r="454" spans="1:4" x14ac:dyDescent="0.25">
      <c r="A454" s="1" t="str">
        <f t="shared" si="7"/>
        <v>453-pimentao mp</v>
      </c>
      <c r="B454" s="1">
        <v>453</v>
      </c>
      <c r="C454" s="1" t="s">
        <v>578</v>
      </c>
      <c r="D454" s="1" t="s">
        <v>575</v>
      </c>
    </row>
    <row r="455" spans="1:4" x14ac:dyDescent="0.25">
      <c r="A455" s="1" t="str">
        <f t="shared" si="7"/>
        <v>454-tomate mp</v>
      </c>
      <c r="B455" s="1">
        <v>454</v>
      </c>
      <c r="C455" s="1" t="s">
        <v>579</v>
      </c>
      <c r="D455" s="1" t="s">
        <v>575</v>
      </c>
    </row>
    <row r="456" spans="1:4" x14ac:dyDescent="0.25">
      <c r="A456" s="1" t="str">
        <f t="shared" si="7"/>
        <v>455-laranja mp</v>
      </c>
      <c r="B456" s="1">
        <v>455</v>
      </c>
      <c r="C456" s="1" t="s">
        <v>580</v>
      </c>
      <c r="D456" s="1" t="s">
        <v>575</v>
      </c>
    </row>
    <row r="457" spans="1:4" x14ac:dyDescent="0.25">
      <c r="A457" s="1" t="str">
        <f t="shared" si="7"/>
        <v>456-limao mp</v>
      </c>
      <c r="B457" s="1">
        <v>456</v>
      </c>
      <c r="C457" s="1" t="s">
        <v>581</v>
      </c>
      <c r="D457" s="1" t="s">
        <v>575</v>
      </c>
    </row>
    <row r="458" spans="1:4" x14ac:dyDescent="0.25">
      <c r="A458" s="1" t="str">
        <f t="shared" si="7"/>
        <v>457-maracuja mp</v>
      </c>
      <c r="B458" s="1">
        <v>457</v>
      </c>
      <c r="C458" s="1" t="s">
        <v>582</v>
      </c>
      <c r="D458" s="1" t="s">
        <v>575</v>
      </c>
    </row>
    <row r="459" spans="1:4" x14ac:dyDescent="0.25">
      <c r="A459" s="1" t="str">
        <f t="shared" si="7"/>
        <v>458-morango mp</v>
      </c>
      <c r="B459" s="1">
        <v>458</v>
      </c>
      <c r="C459" s="1" t="s">
        <v>583</v>
      </c>
      <c r="D459" s="1" t="s">
        <v>575</v>
      </c>
    </row>
    <row r="460" spans="1:4" x14ac:dyDescent="0.25">
      <c r="A460" s="1" t="str">
        <f t="shared" si="7"/>
        <v>459-abacaxi mp</v>
      </c>
      <c r="B460" s="1">
        <v>459</v>
      </c>
      <c r="C460" s="1" t="s">
        <v>584</v>
      </c>
      <c r="D460" s="1" t="s">
        <v>575</v>
      </c>
    </row>
    <row r="461" spans="1:4" x14ac:dyDescent="0.25">
      <c r="A461" s="1" t="str">
        <f t="shared" si="7"/>
        <v>460-aipim mp</v>
      </c>
      <c r="B461" s="1">
        <v>460</v>
      </c>
      <c r="C461" s="1" t="s">
        <v>585</v>
      </c>
      <c r="D461" s="1" t="s">
        <v>575</v>
      </c>
    </row>
    <row r="462" spans="1:4" x14ac:dyDescent="0.25">
      <c r="A462" s="1" t="str">
        <f t="shared" si="7"/>
        <v>461-alface mp</v>
      </c>
      <c r="B462" s="1">
        <v>461</v>
      </c>
      <c r="C462" s="1" t="s">
        <v>586</v>
      </c>
      <c r="D462" s="1" t="s">
        <v>575</v>
      </c>
    </row>
    <row r="463" spans="1:4" x14ac:dyDescent="0.25">
      <c r="A463" s="1" t="str">
        <f t="shared" si="7"/>
        <v>462-alho mp</v>
      </c>
      <c r="B463" s="1">
        <v>462</v>
      </c>
      <c r="C463" s="1" t="s">
        <v>587</v>
      </c>
      <c r="D463" s="1" t="s">
        <v>575</v>
      </c>
    </row>
    <row r="464" spans="1:4" x14ac:dyDescent="0.25">
      <c r="A464" s="1" t="str">
        <f t="shared" si="7"/>
        <v>463-batata inglesa mp</v>
      </c>
      <c r="B464" s="1">
        <v>463</v>
      </c>
      <c r="C464" s="1" t="s">
        <v>588</v>
      </c>
      <c r="D464" s="1" t="s">
        <v>575</v>
      </c>
    </row>
    <row r="465" spans="1:4" x14ac:dyDescent="0.25">
      <c r="A465" s="1" t="str">
        <f t="shared" si="7"/>
        <v>464-brocolis mp</v>
      </c>
      <c r="B465" s="1">
        <v>464</v>
      </c>
      <c r="C465" s="1" t="s">
        <v>589</v>
      </c>
      <c r="D465" s="1" t="s">
        <v>575</v>
      </c>
    </row>
    <row r="466" spans="1:4" x14ac:dyDescent="0.25">
      <c r="A466" s="1" t="str">
        <f t="shared" si="7"/>
        <v>465-cebola branca mp</v>
      </c>
      <c r="B466" s="1">
        <v>465</v>
      </c>
      <c r="C466" s="1" t="s">
        <v>590</v>
      </c>
      <c r="D466" s="1" t="s">
        <v>575</v>
      </c>
    </row>
    <row r="467" spans="1:4" x14ac:dyDescent="0.25">
      <c r="A467" s="1" t="str">
        <f t="shared" si="7"/>
        <v>466-cenoura mp</v>
      </c>
      <c r="B467" s="1">
        <v>466</v>
      </c>
      <c r="C467" s="1" t="s">
        <v>591</v>
      </c>
      <c r="D467" s="1" t="s">
        <v>575</v>
      </c>
    </row>
    <row r="468" spans="1:4" x14ac:dyDescent="0.25">
      <c r="A468" s="1" t="str">
        <f t="shared" si="7"/>
        <v>467-leite mp</v>
      </c>
      <c r="B468" s="1">
        <v>467</v>
      </c>
      <c r="C468" s="1" t="s">
        <v>592</v>
      </c>
      <c r="D468" s="1" t="s">
        <v>593</v>
      </c>
    </row>
    <row r="469" spans="1:4" x14ac:dyDescent="0.25">
      <c r="A469" s="1" t="str">
        <f t="shared" si="7"/>
        <v>468-leite condensado mp</v>
      </c>
      <c r="B469" s="1">
        <v>468</v>
      </c>
      <c r="C469" s="1" t="s">
        <v>594</v>
      </c>
      <c r="D469" s="1" t="s">
        <v>593</v>
      </c>
    </row>
    <row r="470" spans="1:4" x14ac:dyDescent="0.25">
      <c r="A470" s="1" t="str">
        <f t="shared" si="7"/>
        <v>469-margarina mp</v>
      </c>
      <c r="B470" s="1">
        <v>469</v>
      </c>
      <c r="C470" s="1" t="s">
        <v>595</v>
      </c>
      <c r="D470" s="1" t="s">
        <v>593</v>
      </c>
    </row>
    <row r="471" spans="1:4" x14ac:dyDescent="0.25">
      <c r="A471" s="1" t="str">
        <f t="shared" si="7"/>
        <v>470-queijo coalho mp</v>
      </c>
      <c r="B471" s="1">
        <v>470</v>
      </c>
      <c r="C471" s="1" t="s">
        <v>596</v>
      </c>
      <c r="D471" s="1" t="s">
        <v>593</v>
      </c>
    </row>
    <row r="472" spans="1:4" x14ac:dyDescent="0.25">
      <c r="A472" s="1" t="str">
        <f t="shared" si="7"/>
        <v>471-queijo mussarela mp</v>
      </c>
      <c r="B472" s="1">
        <v>471</v>
      </c>
      <c r="C472" s="1" t="s">
        <v>597</v>
      </c>
      <c r="D472" s="1" t="s">
        <v>593</v>
      </c>
    </row>
    <row r="473" spans="1:4" x14ac:dyDescent="0.25">
      <c r="A473" s="1" t="str">
        <f t="shared" si="7"/>
        <v>472-oleo composto soja e oliva mp</v>
      </c>
      <c r="B473" s="1">
        <v>472</v>
      </c>
      <c r="C473" s="1" t="s">
        <v>598</v>
      </c>
      <c r="D473" s="1" t="s">
        <v>599</v>
      </c>
    </row>
    <row r="474" spans="1:4" x14ac:dyDescent="0.25">
      <c r="A474" s="1" t="str">
        <f t="shared" si="7"/>
        <v>473-salmao mp</v>
      </c>
      <c r="B474" s="1">
        <v>473</v>
      </c>
      <c r="C474" s="1" t="s">
        <v>600</v>
      </c>
      <c r="D474" s="1" t="s">
        <v>601</v>
      </c>
    </row>
    <row r="475" spans="1:4" x14ac:dyDescent="0.25">
      <c r="A475" s="1" t="str">
        <f t="shared" si="7"/>
        <v>474-tilapia mp</v>
      </c>
      <c r="B475" s="1">
        <v>474</v>
      </c>
      <c r="C475" s="1" t="s">
        <v>602</v>
      </c>
      <c r="D475" s="1" t="s">
        <v>601</v>
      </c>
    </row>
    <row r="476" spans="1:4" x14ac:dyDescent="0.25">
      <c r="A476" s="1" t="str">
        <f t="shared" si="7"/>
        <v>475-camarao mp</v>
      </c>
      <c r="B476" s="1">
        <v>475</v>
      </c>
      <c r="C476" s="1" t="s">
        <v>603</v>
      </c>
      <c r="D476" s="1" t="s">
        <v>601</v>
      </c>
    </row>
    <row r="477" spans="1:4" x14ac:dyDescent="0.25">
      <c r="A477" s="1" t="str">
        <f t="shared" si="7"/>
        <v>476-acucar mp</v>
      </c>
      <c r="B477" s="1">
        <v>476</v>
      </c>
      <c r="C477" s="1" t="s">
        <v>604</v>
      </c>
      <c r="D477" s="1" t="s">
        <v>605</v>
      </c>
    </row>
    <row r="478" spans="1:4" x14ac:dyDescent="0.25">
      <c r="A478" s="1" t="str">
        <f t="shared" si="7"/>
        <v>477-arroz branco mp</v>
      </c>
      <c r="B478" s="1">
        <v>477</v>
      </c>
      <c r="C478" s="1" t="s">
        <v>606</v>
      </c>
      <c r="D478" s="1" t="s">
        <v>605</v>
      </c>
    </row>
    <row r="479" spans="1:4" x14ac:dyDescent="0.25">
      <c r="A479" s="1" t="str">
        <f t="shared" si="7"/>
        <v>478-arroz parboilizado mp</v>
      </c>
      <c r="B479" s="1">
        <v>478</v>
      </c>
      <c r="C479" s="1" t="s">
        <v>607</v>
      </c>
      <c r="D479" s="1" t="s">
        <v>605</v>
      </c>
    </row>
    <row r="480" spans="1:4" x14ac:dyDescent="0.25">
      <c r="A480" s="1" t="str">
        <f t="shared" si="7"/>
        <v>479-bolo comum mp</v>
      </c>
      <c r="B480" s="1">
        <v>479</v>
      </c>
      <c r="C480" s="1" t="s">
        <v>608</v>
      </c>
      <c r="D480" s="1" t="s">
        <v>605</v>
      </c>
    </row>
    <row r="481" spans="1:4" x14ac:dyDescent="0.25">
      <c r="A481" s="1" t="str">
        <f t="shared" si="7"/>
        <v>480-creme culinario mp</v>
      </c>
      <c r="B481" s="1">
        <v>480</v>
      </c>
      <c r="C481" s="1" t="s">
        <v>609</v>
      </c>
      <c r="D481" s="1" t="s">
        <v>605</v>
      </c>
    </row>
    <row r="482" spans="1:4" x14ac:dyDescent="0.25">
      <c r="A482" s="1" t="str">
        <f t="shared" si="7"/>
        <v>481-ervilha mp</v>
      </c>
      <c r="B482" s="1">
        <v>481</v>
      </c>
      <c r="C482" s="1" t="s">
        <v>610</v>
      </c>
      <c r="D482" s="1" t="s">
        <v>605</v>
      </c>
    </row>
    <row r="483" spans="1:4" x14ac:dyDescent="0.25">
      <c r="A483" s="1" t="str">
        <f t="shared" si="7"/>
        <v>482-extrato de tomate mp</v>
      </c>
      <c r="B483" s="1">
        <v>482</v>
      </c>
      <c r="C483" s="1" t="s">
        <v>611</v>
      </c>
      <c r="D483" s="1" t="s">
        <v>605</v>
      </c>
    </row>
    <row r="484" spans="1:4" x14ac:dyDescent="0.25">
      <c r="A484" s="1" t="str">
        <f t="shared" si="7"/>
        <v>483-farinha de mandioca mp</v>
      </c>
      <c r="B484" s="1">
        <v>483</v>
      </c>
      <c r="C484" s="1" t="s">
        <v>612</v>
      </c>
      <c r="D484" s="1" t="s">
        <v>605</v>
      </c>
    </row>
    <row r="485" spans="1:4" x14ac:dyDescent="0.25">
      <c r="A485" s="1" t="str">
        <f t="shared" si="7"/>
        <v>484-farinha de rosca mp</v>
      </c>
      <c r="B485" s="1">
        <v>484</v>
      </c>
      <c r="C485" s="1" t="s">
        <v>613</v>
      </c>
      <c r="D485" s="1" t="s">
        <v>605</v>
      </c>
    </row>
    <row r="486" spans="1:4" x14ac:dyDescent="0.25">
      <c r="A486" s="1" t="str">
        <f t="shared" si="7"/>
        <v>485-farinha de trigo mp</v>
      </c>
      <c r="B486" s="1">
        <v>485</v>
      </c>
      <c r="C486" s="1" t="s">
        <v>614</v>
      </c>
      <c r="D486" s="1" t="s">
        <v>605</v>
      </c>
    </row>
    <row r="487" spans="1:4" x14ac:dyDescent="0.25">
      <c r="A487" s="1" t="str">
        <f t="shared" si="7"/>
        <v>486-feijao branco mp</v>
      </c>
      <c r="B487" s="1">
        <v>486</v>
      </c>
      <c r="C487" s="1" t="s">
        <v>615</v>
      </c>
      <c r="D487" s="1" t="s">
        <v>605</v>
      </c>
    </row>
    <row r="488" spans="1:4" x14ac:dyDescent="0.25">
      <c r="A488" s="1" t="str">
        <f t="shared" si="7"/>
        <v>487-feijao preto mp</v>
      </c>
      <c r="B488" s="1">
        <v>487</v>
      </c>
      <c r="C488" s="1" t="s">
        <v>616</v>
      </c>
      <c r="D488" s="1" t="s">
        <v>605</v>
      </c>
    </row>
    <row r="489" spans="1:4" x14ac:dyDescent="0.25">
      <c r="A489" s="1" t="str">
        <f t="shared" si="7"/>
        <v>488-flocos de milho mp</v>
      </c>
      <c r="B489" s="1">
        <v>488</v>
      </c>
      <c r="C489" s="1" t="s">
        <v>617</v>
      </c>
      <c r="D489" s="1" t="s">
        <v>605</v>
      </c>
    </row>
    <row r="490" spans="1:4" x14ac:dyDescent="0.25">
      <c r="A490" s="1" t="str">
        <f t="shared" si="7"/>
        <v>489-goma mp</v>
      </c>
      <c r="B490" s="1">
        <v>489</v>
      </c>
      <c r="C490" s="1" t="s">
        <v>618</v>
      </c>
      <c r="D490" s="1" t="s">
        <v>605</v>
      </c>
    </row>
    <row r="491" spans="1:4" x14ac:dyDescent="0.25">
      <c r="A491" s="1" t="str">
        <f t="shared" si="7"/>
        <v>490-ketchup mp</v>
      </c>
      <c r="B491" s="1">
        <v>490</v>
      </c>
      <c r="C491" s="1" t="s">
        <v>619</v>
      </c>
      <c r="D491" s="1" t="s">
        <v>605</v>
      </c>
    </row>
    <row r="492" spans="1:4" x14ac:dyDescent="0.25">
      <c r="A492" s="1" t="str">
        <f t="shared" si="7"/>
        <v>491-leite de coco mp</v>
      </c>
      <c r="B492" s="1">
        <v>491</v>
      </c>
      <c r="C492" s="1" t="s">
        <v>620</v>
      </c>
      <c r="D492" s="1" t="s">
        <v>605</v>
      </c>
    </row>
    <row r="493" spans="1:4" x14ac:dyDescent="0.25">
      <c r="A493" s="1" t="str">
        <f t="shared" si="7"/>
        <v>492-macarrao espaguete mp</v>
      </c>
      <c r="B493" s="1">
        <v>492</v>
      </c>
      <c r="C493" s="1" t="s">
        <v>621</v>
      </c>
      <c r="D493" s="1" t="s">
        <v>605</v>
      </c>
    </row>
    <row r="494" spans="1:4" x14ac:dyDescent="0.25">
      <c r="A494" s="1" t="str">
        <f t="shared" si="7"/>
        <v>493-maionese mp</v>
      </c>
      <c r="B494" s="1">
        <v>493</v>
      </c>
      <c r="C494" s="1" t="s">
        <v>622</v>
      </c>
      <c r="D494" s="1" t="s">
        <v>605</v>
      </c>
    </row>
    <row r="495" spans="1:4" x14ac:dyDescent="0.25">
      <c r="A495" s="1" t="str">
        <f t="shared" si="7"/>
        <v>494-molho de tomate mp</v>
      </c>
      <c r="B495" s="1">
        <v>494</v>
      </c>
      <c r="C495" s="1" t="s">
        <v>623</v>
      </c>
      <c r="D495" s="1" t="s">
        <v>605</v>
      </c>
    </row>
    <row r="496" spans="1:4" x14ac:dyDescent="0.25">
      <c r="A496" s="1" t="str">
        <f t="shared" si="7"/>
        <v>495-molho escuro em po mp</v>
      </c>
      <c r="B496" s="1">
        <v>495</v>
      </c>
      <c r="C496" s="1" t="s">
        <v>624</v>
      </c>
      <c r="D496" s="1" t="s">
        <v>605</v>
      </c>
    </row>
    <row r="497" spans="1:4" x14ac:dyDescent="0.25">
      <c r="A497" s="1" t="str">
        <f t="shared" si="7"/>
        <v>496-molho madeira em po mp</v>
      </c>
      <c r="B497" s="1">
        <v>496</v>
      </c>
      <c r="C497" s="1" t="s">
        <v>625</v>
      </c>
      <c r="D497" s="1" t="s">
        <v>605</v>
      </c>
    </row>
    <row r="498" spans="1:4" x14ac:dyDescent="0.25">
      <c r="A498" s="1" t="str">
        <f t="shared" si="7"/>
        <v>497-molho tonkatsu mp</v>
      </c>
      <c r="B498" s="1">
        <v>497</v>
      </c>
      <c r="C498" s="1" t="s">
        <v>626</v>
      </c>
      <c r="D498" s="1" t="s">
        <v>605</v>
      </c>
    </row>
    <row r="499" spans="1:4" x14ac:dyDescent="0.25">
      <c r="A499" s="1" t="str">
        <f t="shared" si="7"/>
        <v>498-sal grosso mp</v>
      </c>
      <c r="B499" s="1">
        <v>498</v>
      </c>
      <c r="C499" s="1" t="s">
        <v>627</v>
      </c>
      <c r="D499" s="1" t="s">
        <v>605</v>
      </c>
    </row>
    <row r="500" spans="1:4" x14ac:dyDescent="0.25">
      <c r="A500" s="1" t="str">
        <f t="shared" si="7"/>
        <v>499-sal refinado mp</v>
      </c>
      <c r="B500" s="1">
        <v>499</v>
      </c>
      <c r="C500" s="1" t="s">
        <v>628</v>
      </c>
      <c r="D500" s="1" t="s">
        <v>605</v>
      </c>
    </row>
    <row r="501" spans="1:4" x14ac:dyDescent="0.25">
      <c r="A501" s="1" t="str">
        <f t="shared" si="7"/>
        <v>500-vinagre mp</v>
      </c>
      <c r="B501" s="1">
        <v>500</v>
      </c>
      <c r="C501" s="1" t="s">
        <v>629</v>
      </c>
      <c r="D501" s="1" t="s">
        <v>605</v>
      </c>
    </row>
    <row r="502" spans="1:4" x14ac:dyDescent="0.25">
      <c r="A502" s="1" t="str">
        <f t="shared" si="7"/>
        <v>501-bacon mp</v>
      </c>
      <c r="B502" s="1">
        <v>501</v>
      </c>
      <c r="C502" s="1" t="s">
        <v>630</v>
      </c>
      <c r="D502" s="1" t="s">
        <v>631</v>
      </c>
    </row>
    <row r="503" spans="1:4" x14ac:dyDescent="0.25">
      <c r="A503" s="1" t="str">
        <f t="shared" si="7"/>
        <v>502-carne suina mp</v>
      </c>
      <c r="B503" s="1">
        <v>502</v>
      </c>
      <c r="C503" s="1" t="s">
        <v>632</v>
      </c>
      <c r="D503" s="1" t="s">
        <v>631</v>
      </c>
    </row>
    <row r="504" spans="1:4" x14ac:dyDescent="0.25">
      <c r="A504" s="1" t="str">
        <f t="shared" si="7"/>
        <v>503-carne suina funcionarios mp</v>
      </c>
      <c r="B504" s="1">
        <v>503</v>
      </c>
      <c r="C504" s="1" t="s">
        <v>633</v>
      </c>
      <c r="D504" s="1" t="s">
        <v>631</v>
      </c>
    </row>
    <row r="505" spans="1:4" x14ac:dyDescent="0.25">
      <c r="A505" s="1" t="str">
        <f t="shared" si="7"/>
        <v>504-costela suina mp</v>
      </c>
      <c r="B505" s="1">
        <v>504</v>
      </c>
      <c r="C505" s="1" t="s">
        <v>634</v>
      </c>
      <c r="D505" s="1" t="s">
        <v>631</v>
      </c>
    </row>
    <row r="506" spans="1:4" x14ac:dyDescent="0.25">
      <c r="A506" s="1" t="str">
        <f t="shared" si="7"/>
        <v>505-toucinho mp</v>
      </c>
      <c r="B506" s="1">
        <v>505</v>
      </c>
      <c r="C506" s="1" t="s">
        <v>635</v>
      </c>
      <c r="D506" s="1" t="s">
        <v>631</v>
      </c>
    </row>
    <row r="507" spans="1:4" x14ac:dyDescent="0.25">
      <c r="A507" s="1" t="str">
        <f t="shared" si="7"/>
        <v>506-amaciante de carne mp</v>
      </c>
      <c r="B507" s="1">
        <v>506</v>
      </c>
      <c r="C507" s="1" t="s">
        <v>636</v>
      </c>
      <c r="D507" s="1" t="s">
        <v>637</v>
      </c>
    </row>
    <row r="508" spans="1:4" x14ac:dyDescent="0.25">
      <c r="A508" s="1" t="str">
        <f t="shared" si="7"/>
        <v>507-coloral mp</v>
      </c>
      <c r="B508" s="1">
        <v>507</v>
      </c>
      <c r="C508" s="1" t="s">
        <v>638</v>
      </c>
      <c r="D508" s="1" t="s">
        <v>637</v>
      </c>
    </row>
    <row r="509" spans="1:4" x14ac:dyDescent="0.25">
      <c r="A509" s="1" t="str">
        <f t="shared" si="7"/>
        <v>508-manjericao mp</v>
      </c>
      <c r="B509" s="1">
        <v>508</v>
      </c>
      <c r="C509" s="1" t="s">
        <v>639</v>
      </c>
      <c r="D509" s="1" t="s">
        <v>637</v>
      </c>
    </row>
    <row r="510" spans="1:4" x14ac:dyDescent="0.25">
      <c r="A510" s="1" t="str">
        <f t="shared" si="7"/>
        <v>509-acafrao em po mp</v>
      </c>
      <c r="B510" s="1">
        <v>509</v>
      </c>
      <c r="C510" s="1" t="s">
        <v>640</v>
      </c>
      <c r="D510" s="1" t="s">
        <v>605</v>
      </c>
    </row>
    <row r="511" spans="1:4" x14ac:dyDescent="0.25">
      <c r="A511" s="1" t="str">
        <f t="shared" si="7"/>
        <v>510-suino limpo mp</v>
      </c>
      <c r="B511" s="1">
        <v>510</v>
      </c>
      <c r="C511" s="1" t="s">
        <v>641</v>
      </c>
      <c r="D511" s="1" t="s">
        <v>631</v>
      </c>
    </row>
    <row r="512" spans="1:4" x14ac:dyDescent="0.25">
      <c r="A512" s="1" t="str">
        <f t="shared" si="7"/>
        <v>511-cobertura de chocolate mp</v>
      </c>
      <c r="B512" s="1">
        <v>511</v>
      </c>
      <c r="C512" s="1" t="s">
        <v>642</v>
      </c>
      <c r="D512" s="1" t="s">
        <v>643</v>
      </c>
    </row>
    <row r="513" spans="1:4" x14ac:dyDescent="0.25">
      <c r="A513" s="1" t="str">
        <f t="shared" si="7"/>
        <v>512-cobertura de morango mp</v>
      </c>
      <c r="B513" s="1">
        <v>512</v>
      </c>
      <c r="C513" s="1" t="s">
        <v>644</v>
      </c>
      <c r="D513" s="1" t="s">
        <v>643</v>
      </c>
    </row>
    <row r="514" spans="1:4" x14ac:dyDescent="0.25">
      <c r="A514" s="1" t="str">
        <f t="shared" si="7"/>
        <v>513-groselha asa branca mp</v>
      </c>
      <c r="B514" s="1">
        <v>513</v>
      </c>
      <c r="C514" s="1" t="s">
        <v>645</v>
      </c>
      <c r="D514" s="1" t="s">
        <v>643</v>
      </c>
    </row>
    <row r="515" spans="1:4" x14ac:dyDescent="0.25">
      <c r="A515" s="1" t="str">
        <f t="shared" ref="A515:A578" si="8">B515&amp;"-"&amp;C515</f>
        <v>514-suco em po de morango mp</v>
      </c>
      <c r="B515" s="1">
        <v>514</v>
      </c>
      <c r="C515" s="1" t="s">
        <v>646</v>
      </c>
      <c r="D515" s="1" t="s">
        <v>643</v>
      </c>
    </row>
    <row r="516" spans="1:4" x14ac:dyDescent="0.25">
      <c r="A516" s="1" t="str">
        <f t="shared" si="8"/>
        <v>515-azeite de oliva mp</v>
      </c>
      <c r="B516" s="1">
        <v>515</v>
      </c>
      <c r="C516" s="1" t="s">
        <v>647</v>
      </c>
      <c r="D516" s="1" t="s">
        <v>648</v>
      </c>
    </row>
    <row r="517" spans="1:4" x14ac:dyDescent="0.25">
      <c r="A517" s="1" t="str">
        <f t="shared" si="8"/>
        <v>516-cafe em po mp</v>
      </c>
      <c r="B517" s="1">
        <v>516</v>
      </c>
      <c r="C517" s="1" t="s">
        <v>649</v>
      </c>
      <c r="D517" s="1" t="s">
        <v>650</v>
      </c>
    </row>
    <row r="518" spans="1:4" x14ac:dyDescent="0.25">
      <c r="A518" s="1" t="str">
        <f t="shared" si="8"/>
        <v>517-gelo mp</v>
      </c>
      <c r="B518" s="1">
        <v>517</v>
      </c>
      <c r="C518" s="1" t="s">
        <v>651</v>
      </c>
      <c r="D518" s="1" t="s">
        <v>652</v>
      </c>
    </row>
    <row r="519" spans="1:4" x14ac:dyDescent="0.25">
      <c r="A519" s="1" t="str">
        <f t="shared" si="8"/>
        <v>518-molho de pimenta tabasco mp</v>
      </c>
      <c r="B519" s="1">
        <v>518</v>
      </c>
      <c r="C519" s="1" t="s">
        <v>653</v>
      </c>
      <c r="D519" s="1" t="s">
        <v>654</v>
      </c>
    </row>
    <row r="520" spans="1:4" x14ac:dyDescent="0.25">
      <c r="A520" s="1" t="str">
        <f t="shared" si="8"/>
        <v>519-oleo de soja</v>
      </c>
      <c r="B520" s="1">
        <v>519</v>
      </c>
      <c r="C520" s="1" t="s">
        <v>655</v>
      </c>
      <c r="D520" s="1" t="s">
        <v>656</v>
      </c>
    </row>
    <row r="521" spans="1:4" x14ac:dyDescent="0.25">
      <c r="A521" s="1" t="str">
        <f t="shared" si="8"/>
        <v>520-palito dental</v>
      </c>
      <c r="B521" s="1">
        <v>520</v>
      </c>
      <c r="C521" s="1" t="s">
        <v>657</v>
      </c>
      <c r="D521" s="1" t="s">
        <v>658</v>
      </c>
    </row>
    <row r="522" spans="1:4" x14ac:dyDescent="0.25">
      <c r="A522" s="1" t="str">
        <f t="shared" si="8"/>
        <v>521-guardanapo</v>
      </c>
      <c r="B522" s="1">
        <v>521</v>
      </c>
      <c r="C522" s="1" t="s">
        <v>659</v>
      </c>
      <c r="D522" s="1" t="s">
        <v>660</v>
      </c>
    </row>
    <row r="523" spans="1:4" x14ac:dyDescent="0.25">
      <c r="A523" s="1" t="str">
        <f t="shared" si="8"/>
        <v>522-carvao</v>
      </c>
      <c r="B523" s="1">
        <v>522</v>
      </c>
      <c r="C523" s="1" t="s">
        <v>661</v>
      </c>
      <c r="D523" s="1" t="s">
        <v>662</v>
      </c>
    </row>
    <row r="524" spans="1:4" x14ac:dyDescent="0.25">
      <c r="A524" s="1" t="str">
        <f t="shared" si="8"/>
        <v>523-gas</v>
      </c>
      <c r="B524" s="1">
        <v>523</v>
      </c>
      <c r="C524" s="1" t="s">
        <v>663</v>
      </c>
      <c r="D524" s="1" t="s">
        <v>664</v>
      </c>
    </row>
    <row r="525" spans="1:4" x14ac:dyDescent="0.25">
      <c r="A525" s="1" t="str">
        <f t="shared" si="8"/>
        <v>524-prep cafe</v>
      </c>
      <c r="B525" s="1">
        <v>524</v>
      </c>
      <c r="C525" s="1" t="s">
        <v>665</v>
      </c>
      <c r="D525" s="1" t="s">
        <v>666</v>
      </c>
    </row>
    <row r="526" spans="1:4" x14ac:dyDescent="0.25">
      <c r="A526" s="1" t="str">
        <f t="shared" si="8"/>
        <v>525-prep leite cozido</v>
      </c>
      <c r="B526" s="1">
        <v>525</v>
      </c>
      <c r="C526" s="1" t="s">
        <v>667</v>
      </c>
      <c r="D526" s="1" t="s">
        <v>666</v>
      </c>
    </row>
    <row r="527" spans="1:4" x14ac:dyDescent="0.25">
      <c r="A527" s="1" t="str">
        <f t="shared" si="8"/>
        <v>526-prep polpa maracuja com sement</v>
      </c>
      <c r="B527" s="1">
        <v>526</v>
      </c>
      <c r="C527" s="1" t="s">
        <v>668</v>
      </c>
      <c r="D527" s="1" t="s">
        <v>666</v>
      </c>
    </row>
    <row r="528" spans="1:4" x14ac:dyDescent="0.25">
      <c r="A528" s="1" t="str">
        <f t="shared" si="8"/>
        <v>527-prep polpa maracuja sem sement</v>
      </c>
      <c r="B528" s="1">
        <v>527</v>
      </c>
      <c r="C528" s="1" t="s">
        <v>669</v>
      </c>
      <c r="D528" s="1" t="s">
        <v>666</v>
      </c>
    </row>
    <row r="529" spans="1:4" x14ac:dyDescent="0.25">
      <c r="A529" s="1" t="str">
        <f t="shared" si="8"/>
        <v>528-prep alho em pasta</v>
      </c>
      <c r="B529" s="1">
        <v>528</v>
      </c>
      <c r="C529" s="1" t="s">
        <v>670</v>
      </c>
      <c r="D529" s="1" t="s">
        <v>671</v>
      </c>
    </row>
    <row r="530" spans="1:4" x14ac:dyDescent="0.25">
      <c r="A530" s="1" t="str">
        <f t="shared" si="8"/>
        <v>529-prep alho sem casca</v>
      </c>
      <c r="B530" s="1">
        <v>529</v>
      </c>
      <c r="C530" s="1" t="s">
        <v>672</v>
      </c>
      <c r="D530" s="1" t="s">
        <v>671</v>
      </c>
    </row>
    <row r="531" spans="1:4" x14ac:dyDescent="0.25">
      <c r="A531" s="1" t="str">
        <f t="shared" si="8"/>
        <v>530-prep arroz cozido</v>
      </c>
      <c r="B531" s="1">
        <v>530</v>
      </c>
      <c r="C531" s="1" t="s">
        <v>673</v>
      </c>
      <c r="D531" s="1" t="s">
        <v>671</v>
      </c>
    </row>
    <row r="532" spans="1:4" x14ac:dyDescent="0.25">
      <c r="A532" s="1" t="str">
        <f t="shared" si="8"/>
        <v>531-prep bacon picado</v>
      </c>
      <c r="B532" s="1">
        <v>531</v>
      </c>
      <c r="C532" s="1" t="s">
        <v>674</v>
      </c>
      <c r="D532" s="1" t="s">
        <v>671</v>
      </c>
    </row>
    <row r="533" spans="1:4" x14ac:dyDescent="0.25">
      <c r="A533" s="1" t="str">
        <f t="shared" si="8"/>
        <v>532-prep batata palha frita</v>
      </c>
      <c r="B533" s="1">
        <v>532</v>
      </c>
      <c r="C533" s="1" t="s">
        <v>675</v>
      </c>
      <c r="D533" s="1" t="s">
        <v>671</v>
      </c>
    </row>
    <row r="534" spans="1:4" x14ac:dyDescent="0.25">
      <c r="A534" s="1" t="str">
        <f t="shared" si="8"/>
        <v>533-prep carne suina limpa</v>
      </c>
      <c r="B534" s="1">
        <v>533</v>
      </c>
      <c r="C534" s="1" t="s">
        <v>676</v>
      </c>
      <c r="D534" s="1" t="s">
        <v>671</v>
      </c>
    </row>
    <row r="535" spans="1:4" x14ac:dyDescent="0.25">
      <c r="A535" s="1" t="str">
        <f t="shared" si="8"/>
        <v>534-prep cebola branc sem casca</v>
      </c>
      <c r="B535" s="1">
        <v>534</v>
      </c>
      <c r="C535" s="1" t="s">
        <v>677</v>
      </c>
      <c r="D535" s="1" t="s">
        <v>671</v>
      </c>
    </row>
    <row r="536" spans="1:4" x14ac:dyDescent="0.25">
      <c r="A536" s="1" t="str">
        <f t="shared" si="8"/>
        <v>535-prep cenoura picada</v>
      </c>
      <c r="B536" s="1">
        <v>535</v>
      </c>
      <c r="C536" s="1" t="s">
        <v>678</v>
      </c>
      <c r="D536" s="1" t="s">
        <v>671</v>
      </c>
    </row>
    <row r="537" spans="1:4" x14ac:dyDescent="0.25">
      <c r="A537" s="1" t="str">
        <f t="shared" si="8"/>
        <v>536-prep coentro picado</v>
      </c>
      <c r="B537" s="1">
        <v>536</v>
      </c>
      <c r="C537" s="1" t="s">
        <v>679</v>
      </c>
      <c r="D537" s="1" t="s">
        <v>671</v>
      </c>
    </row>
    <row r="538" spans="1:4" x14ac:dyDescent="0.25">
      <c r="A538" s="1" t="str">
        <f t="shared" si="8"/>
        <v>537-prep contra file limpo</v>
      </c>
      <c r="B538" s="1">
        <v>537</v>
      </c>
      <c r="C538" s="1" t="s">
        <v>680</v>
      </c>
      <c r="D538" s="1" t="s">
        <v>671</v>
      </c>
    </row>
    <row r="539" spans="1:4" x14ac:dyDescent="0.25">
      <c r="A539" s="1" t="str">
        <f t="shared" si="8"/>
        <v>538-prep cordao do file mignon</v>
      </c>
      <c r="B539" s="1">
        <v>538</v>
      </c>
      <c r="C539" s="1" t="s">
        <v>681</v>
      </c>
      <c r="D539" s="1" t="s">
        <v>671</v>
      </c>
    </row>
    <row r="540" spans="1:4" x14ac:dyDescent="0.25">
      <c r="A540" s="1" t="str">
        <f t="shared" si="8"/>
        <v>539-prep cordao file mignon moido</v>
      </c>
      <c r="B540" s="1">
        <v>539</v>
      </c>
      <c r="C540" s="1" t="s">
        <v>682</v>
      </c>
      <c r="D540" s="1" t="s">
        <v>671</v>
      </c>
    </row>
    <row r="541" spans="1:4" x14ac:dyDescent="0.25">
      <c r="A541" s="1" t="str">
        <f t="shared" si="8"/>
        <v>540-prep costela suina</v>
      </c>
      <c r="B541" s="1">
        <v>540</v>
      </c>
      <c r="C541" s="1" t="s">
        <v>683</v>
      </c>
      <c r="D541" s="1" t="s">
        <v>671</v>
      </c>
    </row>
    <row r="542" spans="1:4" x14ac:dyDescent="0.25">
      <c r="A542" s="1" t="str">
        <f t="shared" si="8"/>
        <v>541-prep derivados do cordao fm</v>
      </c>
      <c r="B542" s="1">
        <v>541</v>
      </c>
      <c r="C542" s="1" t="s">
        <v>684</v>
      </c>
      <c r="D542" s="1" t="s">
        <v>671</v>
      </c>
    </row>
    <row r="543" spans="1:4" x14ac:dyDescent="0.25">
      <c r="A543" s="1" t="str">
        <f t="shared" si="8"/>
        <v>542-prep feijao branco cozido</v>
      </c>
      <c r="B543" s="1">
        <v>542</v>
      </c>
      <c r="C543" s="1" t="s">
        <v>685</v>
      </c>
      <c r="D543" s="1" t="s">
        <v>671</v>
      </c>
    </row>
    <row r="544" spans="1:4" x14ac:dyDescent="0.25">
      <c r="A544" s="1" t="str">
        <f t="shared" si="8"/>
        <v>543-prep feijao preto cozido</v>
      </c>
      <c r="B544" s="1">
        <v>543</v>
      </c>
      <c r="C544" s="1" t="s">
        <v>686</v>
      </c>
      <c r="D544" s="1" t="s">
        <v>671</v>
      </c>
    </row>
    <row r="545" spans="1:4" x14ac:dyDescent="0.25">
      <c r="A545" s="1" t="str">
        <f t="shared" si="8"/>
        <v>544-prep file de peito frango</v>
      </c>
      <c r="B545" s="1">
        <v>544</v>
      </c>
      <c r="C545" s="1" t="s">
        <v>687</v>
      </c>
      <c r="D545" s="1" t="s">
        <v>671</v>
      </c>
    </row>
    <row r="546" spans="1:4" x14ac:dyDescent="0.25">
      <c r="A546" s="1" t="str">
        <f t="shared" si="8"/>
        <v>545-prep file de tilapia</v>
      </c>
      <c r="B546" s="1">
        <v>545</v>
      </c>
      <c r="C546" s="1" t="s">
        <v>688</v>
      </c>
      <c r="D546" s="1" t="s">
        <v>671</v>
      </c>
    </row>
    <row r="547" spans="1:4" x14ac:dyDescent="0.25">
      <c r="A547" s="1" t="str">
        <f t="shared" si="8"/>
        <v>546-prep fraldinha moida</v>
      </c>
      <c r="B547" s="1">
        <v>546</v>
      </c>
      <c r="C547" s="1" t="s">
        <v>689</v>
      </c>
      <c r="D547" s="1" t="s">
        <v>671</v>
      </c>
    </row>
    <row r="548" spans="1:4" x14ac:dyDescent="0.25">
      <c r="A548" s="1" t="str">
        <f t="shared" si="8"/>
        <v>547-prep lanche apresunt picado</v>
      </c>
      <c r="B548" s="1">
        <v>547</v>
      </c>
      <c r="C548" s="1" t="s">
        <v>690</v>
      </c>
      <c r="D548" s="1" t="s">
        <v>671</v>
      </c>
    </row>
    <row r="549" spans="1:4" x14ac:dyDescent="0.25">
      <c r="A549" s="1" t="str">
        <f t="shared" si="8"/>
        <v>548-prep legumes a grega</v>
      </c>
      <c r="B549" s="1">
        <v>548</v>
      </c>
      <c r="C549" s="1" t="s">
        <v>691</v>
      </c>
      <c r="D549" s="1" t="s">
        <v>671</v>
      </c>
    </row>
    <row r="550" spans="1:4" x14ac:dyDescent="0.25">
      <c r="A550" s="1" t="str">
        <f t="shared" si="8"/>
        <v>549-prep massa fettuccine</v>
      </c>
      <c r="B550" s="1">
        <v>549</v>
      </c>
      <c r="C550" s="1" t="s">
        <v>692</v>
      </c>
      <c r="D550" s="1" t="s">
        <v>671</v>
      </c>
    </row>
    <row r="551" spans="1:4" x14ac:dyDescent="0.25">
      <c r="A551" s="1" t="str">
        <f t="shared" si="8"/>
        <v>550-prep massa rondelli</v>
      </c>
      <c r="B551" s="1">
        <v>550</v>
      </c>
      <c r="C551" s="1" t="s">
        <v>693</v>
      </c>
      <c r="D551" s="1" t="s">
        <v>671</v>
      </c>
    </row>
    <row r="552" spans="1:4" x14ac:dyDescent="0.25">
      <c r="A552" s="1" t="str">
        <f t="shared" si="8"/>
        <v>551-prep molho branco</v>
      </c>
      <c r="B552" s="1">
        <v>551</v>
      </c>
      <c r="C552" s="1" t="s">
        <v>694</v>
      </c>
      <c r="D552" s="1" t="s">
        <v>671</v>
      </c>
    </row>
    <row r="553" spans="1:4" x14ac:dyDescent="0.25">
      <c r="A553" s="1" t="str">
        <f t="shared" si="8"/>
        <v>552-prep molho madeira</v>
      </c>
      <c r="B553" s="1">
        <v>552</v>
      </c>
      <c r="C553" s="1" t="s">
        <v>695</v>
      </c>
      <c r="D553" s="1" t="s">
        <v>671</v>
      </c>
    </row>
    <row r="554" spans="1:4" x14ac:dyDescent="0.25">
      <c r="A554" s="1" t="str">
        <f t="shared" si="8"/>
        <v>553-prep molho rose</v>
      </c>
      <c r="B554" s="1">
        <v>553</v>
      </c>
      <c r="C554" s="1" t="s">
        <v>696</v>
      </c>
      <c r="D554" s="1" t="s">
        <v>671</v>
      </c>
    </row>
    <row r="555" spans="1:4" x14ac:dyDescent="0.25">
      <c r="A555" s="1" t="str">
        <f t="shared" si="8"/>
        <v>554-prep molho vermelho</v>
      </c>
      <c r="B555" s="1">
        <v>554</v>
      </c>
      <c r="C555" s="1" t="s">
        <v>697</v>
      </c>
      <c r="D555" s="1" t="s">
        <v>671</v>
      </c>
    </row>
    <row r="556" spans="1:4" x14ac:dyDescent="0.25">
      <c r="A556" s="1" t="str">
        <f t="shared" si="8"/>
        <v>555-prep oleo de porco</v>
      </c>
      <c r="B556" s="1">
        <v>555</v>
      </c>
      <c r="C556" s="1" t="s">
        <v>698</v>
      </c>
      <c r="D556" s="1" t="s">
        <v>671</v>
      </c>
    </row>
    <row r="557" spans="1:4" x14ac:dyDescent="0.25">
      <c r="A557" s="1" t="str">
        <f t="shared" si="8"/>
        <v>556-prep pimentao picado</v>
      </c>
      <c r="B557" s="1">
        <v>556</v>
      </c>
      <c r="C557" s="1" t="s">
        <v>699</v>
      </c>
      <c r="D557" s="1" t="s">
        <v>671</v>
      </c>
    </row>
    <row r="558" spans="1:4" x14ac:dyDescent="0.25">
      <c r="A558" s="1" t="str">
        <f t="shared" si="8"/>
        <v>557-porcao aipim limpo e cozido</v>
      </c>
      <c r="B558" s="1">
        <v>557</v>
      </c>
      <c r="C558" s="1" t="s">
        <v>700</v>
      </c>
      <c r="D558" s="1" t="s">
        <v>671</v>
      </c>
    </row>
    <row r="559" spans="1:4" x14ac:dyDescent="0.25">
      <c r="A559" s="1" t="str">
        <f t="shared" si="8"/>
        <v>558-porcao brocolis limpo e cozido</v>
      </c>
      <c r="B559" s="1">
        <v>558</v>
      </c>
      <c r="C559" s="1" t="s">
        <v>701</v>
      </c>
      <c r="D559" s="1" t="s">
        <v>671</v>
      </c>
    </row>
    <row r="560" spans="1:4" x14ac:dyDescent="0.25">
      <c r="A560" s="1" t="str">
        <f t="shared" si="8"/>
        <v>559-porcao de camarao</v>
      </c>
      <c r="B560" s="1">
        <v>559</v>
      </c>
      <c r="C560" s="1" t="s">
        <v>702</v>
      </c>
      <c r="D560" s="1" t="s">
        <v>671</v>
      </c>
    </row>
    <row r="561" spans="1:4" x14ac:dyDescent="0.25">
      <c r="A561" s="1" t="str">
        <f t="shared" si="8"/>
        <v>560-porcao linguica suina</v>
      </c>
      <c r="B561" s="1">
        <v>560</v>
      </c>
      <c r="C561" s="1" t="s">
        <v>703</v>
      </c>
      <c r="D561" s="1" t="s">
        <v>671</v>
      </c>
    </row>
    <row r="562" spans="1:4" x14ac:dyDescent="0.25">
      <c r="A562" s="1" t="str">
        <f t="shared" si="8"/>
        <v>561-porcao frango a passarinho</v>
      </c>
      <c r="B562" s="1">
        <v>561</v>
      </c>
      <c r="C562" s="1" t="s">
        <v>704</v>
      </c>
      <c r="D562" s="1" t="s">
        <v>671</v>
      </c>
    </row>
    <row r="563" spans="1:4" x14ac:dyDescent="0.25">
      <c r="A563" s="1" t="str">
        <f t="shared" si="8"/>
        <v>562-porcao nugget frango</v>
      </c>
      <c r="B563" s="1">
        <v>562</v>
      </c>
      <c r="C563" s="1" t="s">
        <v>705</v>
      </c>
      <c r="D563" s="1" t="s">
        <v>671</v>
      </c>
    </row>
    <row r="564" spans="1:4" x14ac:dyDescent="0.25">
      <c r="A564" s="1" t="str">
        <f t="shared" si="8"/>
        <v>563-porcao nugget peixe</v>
      </c>
      <c r="B564" s="1">
        <v>563</v>
      </c>
      <c r="C564" s="1" t="s">
        <v>706</v>
      </c>
      <c r="D564" s="1" t="s">
        <v>671</v>
      </c>
    </row>
    <row r="565" spans="1:4" x14ac:dyDescent="0.25">
      <c r="A565" s="1" t="str">
        <f t="shared" si="8"/>
        <v>564-porcao queijo milanesa</v>
      </c>
      <c r="B565" s="1">
        <v>564</v>
      </c>
      <c r="C565" s="1" t="s">
        <v>707</v>
      </c>
      <c r="D565" s="1" t="s">
        <v>671</v>
      </c>
    </row>
    <row r="566" spans="1:4" x14ac:dyDescent="0.25">
      <c r="A566" s="1" t="str">
        <f t="shared" si="8"/>
        <v>565-prep recheio do rondelli</v>
      </c>
      <c r="B566" s="1">
        <v>565</v>
      </c>
      <c r="C566" s="1" t="s">
        <v>708</v>
      </c>
      <c r="D566" s="1" t="s">
        <v>671</v>
      </c>
    </row>
    <row r="567" spans="1:4" x14ac:dyDescent="0.25">
      <c r="A567" s="1" t="str">
        <f t="shared" si="8"/>
        <v>566-prep rondelli massa recheada</v>
      </c>
      <c r="B567" s="1">
        <v>566</v>
      </c>
      <c r="C567" s="1" t="s">
        <v>709</v>
      </c>
      <c r="D567" s="1" t="s">
        <v>671</v>
      </c>
    </row>
    <row r="568" spans="1:4" x14ac:dyDescent="0.25">
      <c r="A568" s="1" t="str">
        <f t="shared" si="8"/>
        <v>567-prep file de salmao</v>
      </c>
      <c r="B568" s="1">
        <v>567</v>
      </c>
      <c r="C568" s="1" t="s">
        <v>710</v>
      </c>
      <c r="D568" s="1" t="s">
        <v>671</v>
      </c>
    </row>
    <row r="569" spans="1:4" x14ac:dyDescent="0.25">
      <c r="A569" s="1" t="str">
        <f t="shared" si="8"/>
        <v>568-tilapia limpa mp</v>
      </c>
      <c r="B569" s="1">
        <v>568</v>
      </c>
      <c r="C569" s="1" t="s">
        <v>711</v>
      </c>
      <c r="D569" s="1" t="s">
        <v>601</v>
      </c>
    </row>
    <row r="570" spans="1:4" x14ac:dyDescent="0.25">
      <c r="A570" s="1" t="str">
        <f t="shared" si="8"/>
        <v>569-bobina picotada 20x30</v>
      </c>
      <c r="B570" s="1">
        <v>569</v>
      </c>
      <c r="C570" s="1" t="s">
        <v>712</v>
      </c>
      <c r="D570" s="1" t="s">
        <v>713</v>
      </c>
    </row>
    <row r="571" spans="1:4" x14ac:dyDescent="0.25">
      <c r="A571" s="1" t="str">
        <f t="shared" si="8"/>
        <v>570-bobina picotada 30x40</v>
      </c>
      <c r="B571" s="1">
        <v>570</v>
      </c>
      <c r="C571" s="1" t="s">
        <v>714</v>
      </c>
      <c r="D571" s="1" t="s">
        <v>713</v>
      </c>
    </row>
    <row r="572" spans="1:4" x14ac:dyDescent="0.25">
      <c r="A572" s="1" t="str">
        <f t="shared" si="8"/>
        <v>571-bobina picotada 40x60</v>
      </c>
      <c r="B572" s="1">
        <v>571</v>
      </c>
      <c r="C572" s="1" t="s">
        <v>715</v>
      </c>
      <c r="D572" s="1" t="s">
        <v>713</v>
      </c>
    </row>
    <row r="573" spans="1:4" x14ac:dyDescent="0.25">
      <c r="A573" s="1" t="str">
        <f t="shared" si="8"/>
        <v>572-canudo plastico</v>
      </c>
      <c r="B573" s="1">
        <v>572</v>
      </c>
      <c r="C573" s="1" t="s">
        <v>716</v>
      </c>
      <c r="D573" s="1" t="s">
        <v>717</v>
      </c>
    </row>
    <row r="574" spans="1:4" x14ac:dyDescent="0.25">
      <c r="A574" s="1" t="str">
        <f t="shared" si="8"/>
        <v>573-copo descartavel 180ml</v>
      </c>
      <c r="B574" s="1">
        <v>573</v>
      </c>
      <c r="C574" s="1" t="s">
        <v>718</v>
      </c>
      <c r="D574" s="1" t="s">
        <v>717</v>
      </c>
    </row>
    <row r="575" spans="1:4" x14ac:dyDescent="0.25">
      <c r="A575" s="1" t="str">
        <f t="shared" si="8"/>
        <v>574-copo descartavel 50ml</v>
      </c>
      <c r="B575" s="1">
        <v>574</v>
      </c>
      <c r="C575" s="1" t="s">
        <v>719</v>
      </c>
      <c r="D575" s="1" t="s">
        <v>717</v>
      </c>
    </row>
    <row r="576" spans="1:4" x14ac:dyDescent="0.25">
      <c r="A576" s="1" t="str">
        <f t="shared" si="8"/>
        <v>575-copo descartavel 400ml</v>
      </c>
      <c r="B576" s="1">
        <v>575</v>
      </c>
      <c r="C576" s="1" t="s">
        <v>720</v>
      </c>
      <c r="D576" s="1" t="s">
        <v>717</v>
      </c>
    </row>
    <row r="577" spans="1:4" x14ac:dyDescent="0.25">
      <c r="A577" s="1" t="str">
        <f t="shared" si="8"/>
        <v>576-guarda chuva coquetel</v>
      </c>
      <c r="B577" s="1">
        <v>576</v>
      </c>
      <c r="C577" s="1" t="s">
        <v>721</v>
      </c>
      <c r="D577" s="1" t="s">
        <v>717</v>
      </c>
    </row>
    <row r="578" spans="1:4" x14ac:dyDescent="0.25">
      <c r="A578" s="1" t="str">
        <f t="shared" si="8"/>
        <v>577-pote descartavel 100ml</v>
      </c>
      <c r="B578" s="1">
        <v>577</v>
      </c>
      <c r="C578" s="1" t="s">
        <v>722</v>
      </c>
      <c r="D578" s="1" t="s">
        <v>433</v>
      </c>
    </row>
    <row r="579" spans="1:4" x14ac:dyDescent="0.25">
      <c r="A579" s="1" t="str">
        <f t="shared" ref="A579:A642" si="9">B579&amp;"-"&amp;C579</f>
        <v>578-tampa descartavel 100ml</v>
      </c>
      <c r="B579" s="1">
        <v>578</v>
      </c>
      <c r="C579" s="1" t="s">
        <v>723</v>
      </c>
      <c r="D579" s="1" t="s">
        <v>433</v>
      </c>
    </row>
    <row r="580" spans="1:4" x14ac:dyDescent="0.25">
      <c r="A580" s="1" t="str">
        <f t="shared" si="9"/>
        <v>579-embalagem para pudim</v>
      </c>
      <c r="B580" s="1">
        <v>579</v>
      </c>
      <c r="C580" s="1" t="s">
        <v>724</v>
      </c>
      <c r="D580" s="1" t="s">
        <v>433</v>
      </c>
    </row>
    <row r="581" spans="1:4" x14ac:dyDescent="0.25">
      <c r="A581" s="1" t="str">
        <f t="shared" si="9"/>
        <v>580-quentinha de aluminio</v>
      </c>
      <c r="B581" s="1">
        <v>580</v>
      </c>
      <c r="C581" s="1" t="s">
        <v>725</v>
      </c>
      <c r="D581" s="1" t="s">
        <v>433</v>
      </c>
    </row>
    <row r="582" spans="1:4" x14ac:dyDescent="0.25">
      <c r="A582" s="1" t="str">
        <f t="shared" si="9"/>
        <v>581-quentinha de isopor m50</v>
      </c>
      <c r="B582" s="1">
        <v>581</v>
      </c>
      <c r="C582" s="1" t="s">
        <v>726</v>
      </c>
      <c r="D582" s="1" t="s">
        <v>433</v>
      </c>
    </row>
    <row r="583" spans="1:4" x14ac:dyDescent="0.25">
      <c r="A583" s="1" t="str">
        <f t="shared" si="9"/>
        <v>582-azulim</v>
      </c>
      <c r="B583" s="1">
        <v>582</v>
      </c>
      <c r="C583" s="1" t="s">
        <v>727</v>
      </c>
      <c r="D583" s="1" t="s">
        <v>728</v>
      </c>
    </row>
    <row r="584" spans="1:4" x14ac:dyDescent="0.25">
      <c r="A584" s="1" t="str">
        <f t="shared" si="9"/>
        <v>583-barrilha</v>
      </c>
      <c r="B584" s="1">
        <v>583</v>
      </c>
      <c r="C584" s="1" t="s">
        <v>729</v>
      </c>
      <c r="D584" s="1" t="s">
        <v>730</v>
      </c>
    </row>
    <row r="585" spans="1:4" x14ac:dyDescent="0.25">
      <c r="A585" s="1" t="str">
        <f t="shared" si="9"/>
        <v>584-cloro</v>
      </c>
      <c r="B585" s="1">
        <v>584</v>
      </c>
      <c r="C585" s="1" t="s">
        <v>731</v>
      </c>
      <c r="D585" s="1" t="s">
        <v>730</v>
      </c>
    </row>
    <row r="586" spans="1:4" x14ac:dyDescent="0.25">
      <c r="A586" s="1" t="str">
        <f t="shared" si="9"/>
        <v>585-elevador de alcalinidade</v>
      </c>
      <c r="B586" s="1">
        <v>585</v>
      </c>
      <c r="C586" s="1" t="s">
        <v>732</v>
      </c>
      <c r="D586" s="1" t="s">
        <v>730</v>
      </c>
    </row>
    <row r="587" spans="1:4" x14ac:dyDescent="0.25">
      <c r="A587" s="1" t="str">
        <f t="shared" si="9"/>
        <v>586-sulfato</v>
      </c>
      <c r="B587" s="1">
        <v>586</v>
      </c>
      <c r="C587" s="1" t="s">
        <v>733</v>
      </c>
      <c r="D587" s="1" t="s">
        <v>730</v>
      </c>
    </row>
    <row r="588" spans="1:4" x14ac:dyDescent="0.25">
      <c r="A588" s="1" t="str">
        <f t="shared" si="9"/>
        <v>587-inseticida zero in</v>
      </c>
      <c r="B588" s="1">
        <v>587</v>
      </c>
      <c r="C588" s="1" t="s">
        <v>734</v>
      </c>
      <c r="D588" s="1" t="s">
        <v>735</v>
      </c>
    </row>
    <row r="589" spans="1:4" x14ac:dyDescent="0.25">
      <c r="A589" s="1" t="str">
        <f t="shared" si="9"/>
        <v>588-agua sanitaria</v>
      </c>
      <c r="B589" s="1">
        <v>588</v>
      </c>
      <c r="C589" s="1" t="s">
        <v>736</v>
      </c>
      <c r="D589" s="1" t="s">
        <v>728</v>
      </c>
    </row>
    <row r="590" spans="1:4" x14ac:dyDescent="0.25">
      <c r="A590" s="1" t="str">
        <f t="shared" si="9"/>
        <v>589-alcool em gel</v>
      </c>
      <c r="B590" s="1">
        <v>589</v>
      </c>
      <c r="C590" s="1" t="s">
        <v>737</v>
      </c>
      <c r="D590" s="1" t="s">
        <v>728</v>
      </c>
    </row>
    <row r="591" spans="1:4" x14ac:dyDescent="0.25">
      <c r="A591" s="1" t="str">
        <f t="shared" si="9"/>
        <v>590-alcool liquido</v>
      </c>
      <c r="B591" s="1">
        <v>590</v>
      </c>
      <c r="C591" s="1" t="s">
        <v>738</v>
      </c>
      <c r="D591" s="1" t="s">
        <v>728</v>
      </c>
    </row>
    <row r="592" spans="1:4" x14ac:dyDescent="0.25">
      <c r="A592" s="1" t="str">
        <f t="shared" si="9"/>
        <v>591-cera liquida</v>
      </c>
      <c r="B592" s="1">
        <v>591</v>
      </c>
      <c r="C592" s="1" t="s">
        <v>739</v>
      </c>
      <c r="D592" s="1" t="s">
        <v>728</v>
      </c>
    </row>
    <row r="593" spans="1:4" x14ac:dyDescent="0.25">
      <c r="A593" s="1" t="str">
        <f t="shared" si="9"/>
        <v>592-desinfetante liquido</v>
      </c>
      <c r="B593" s="1">
        <v>592</v>
      </c>
      <c r="C593" s="1" t="s">
        <v>740</v>
      </c>
      <c r="D593" s="1" t="s">
        <v>728</v>
      </c>
    </row>
    <row r="594" spans="1:4" x14ac:dyDescent="0.25">
      <c r="A594" s="1" t="str">
        <f t="shared" si="9"/>
        <v>593-detergente liquido</v>
      </c>
      <c r="B594" s="1">
        <v>593</v>
      </c>
      <c r="C594" s="1" t="s">
        <v>741</v>
      </c>
      <c r="D594" s="1" t="s">
        <v>728</v>
      </c>
    </row>
    <row r="595" spans="1:4" x14ac:dyDescent="0.25">
      <c r="A595" s="1" t="str">
        <f t="shared" si="9"/>
        <v>594-esponja de lavar louca</v>
      </c>
      <c r="B595" s="1">
        <v>594</v>
      </c>
      <c r="C595" s="1" t="s">
        <v>742</v>
      </c>
      <c r="D595" s="1" t="s">
        <v>728</v>
      </c>
    </row>
    <row r="596" spans="1:4" x14ac:dyDescent="0.25">
      <c r="A596" s="1" t="str">
        <f t="shared" si="9"/>
        <v>595-limpa alumínio</v>
      </c>
      <c r="B596" s="1">
        <v>595</v>
      </c>
      <c r="C596" s="1" t="s">
        <v>743</v>
      </c>
      <c r="D596" s="1" t="s">
        <v>728</v>
      </c>
    </row>
    <row r="597" spans="1:4" x14ac:dyDescent="0.25">
      <c r="A597" s="1" t="str">
        <f t="shared" si="9"/>
        <v>596-luva latex multiuso</v>
      </c>
      <c r="B597" s="1">
        <v>596</v>
      </c>
      <c r="C597" s="1" t="s">
        <v>744</v>
      </c>
      <c r="D597" s="1" t="s">
        <v>728</v>
      </c>
    </row>
    <row r="598" spans="1:4" x14ac:dyDescent="0.25">
      <c r="A598" s="1" t="str">
        <f t="shared" si="9"/>
        <v>597-multiuso original cif</v>
      </c>
      <c r="B598" s="1">
        <v>597</v>
      </c>
      <c r="C598" s="1" t="s">
        <v>745</v>
      </c>
      <c r="D598" s="1" t="s">
        <v>728</v>
      </c>
    </row>
    <row r="599" spans="1:4" x14ac:dyDescent="0.25">
      <c r="A599" s="1" t="str">
        <f t="shared" si="9"/>
        <v>598-pano de chao</v>
      </c>
      <c r="B599" s="1">
        <v>598</v>
      </c>
      <c r="C599" s="1" t="s">
        <v>746</v>
      </c>
      <c r="D599" s="1" t="s">
        <v>728</v>
      </c>
    </row>
    <row r="600" spans="1:4" x14ac:dyDescent="0.25">
      <c r="A600" s="1" t="str">
        <f t="shared" si="9"/>
        <v>599-papel higienico</v>
      </c>
      <c r="B600" s="1">
        <v>599</v>
      </c>
      <c r="C600" s="1" t="s">
        <v>747</v>
      </c>
      <c r="D600" s="1" t="s">
        <v>728</v>
      </c>
    </row>
    <row r="601" spans="1:4" x14ac:dyDescent="0.25">
      <c r="A601" s="1" t="str">
        <f t="shared" si="9"/>
        <v>600-papel toalha</v>
      </c>
      <c r="B601" s="1">
        <v>600</v>
      </c>
      <c r="C601" s="1" t="s">
        <v>748</v>
      </c>
      <c r="D601" s="1" t="s">
        <v>660</v>
      </c>
    </row>
    <row r="602" spans="1:4" x14ac:dyDescent="0.25">
      <c r="A602" s="1" t="str">
        <f t="shared" si="9"/>
        <v>601-pedra sanitaria</v>
      </c>
      <c r="B602" s="1">
        <v>601</v>
      </c>
      <c r="C602" s="1" t="s">
        <v>749</v>
      </c>
      <c r="D602" s="1" t="s">
        <v>728</v>
      </c>
    </row>
    <row r="603" spans="1:4" x14ac:dyDescent="0.25">
      <c r="A603" s="1" t="str">
        <f t="shared" si="9"/>
        <v>602-sabao em po</v>
      </c>
      <c r="B603" s="1">
        <v>602</v>
      </c>
      <c r="C603" s="1" t="s">
        <v>750</v>
      </c>
      <c r="D603" s="1" t="s">
        <v>728</v>
      </c>
    </row>
    <row r="604" spans="1:4" x14ac:dyDescent="0.25">
      <c r="A604" s="1" t="str">
        <f t="shared" si="9"/>
        <v>603-saco de lixo 100L</v>
      </c>
      <c r="B604" s="1">
        <v>603</v>
      </c>
      <c r="C604" s="1" t="s">
        <v>751</v>
      </c>
      <c r="D604" s="1" t="s">
        <v>728</v>
      </c>
    </row>
    <row r="605" spans="1:4" x14ac:dyDescent="0.25">
      <c r="A605" s="1" t="str">
        <f t="shared" si="9"/>
        <v>604-saco de lixo 60L</v>
      </c>
      <c r="B605" s="1">
        <v>604</v>
      </c>
      <c r="C605" s="1" t="s">
        <v>752</v>
      </c>
      <c r="D605" s="1" t="s">
        <v>728</v>
      </c>
    </row>
    <row r="606" spans="1:4" x14ac:dyDescent="0.25">
      <c r="A606" s="1" t="str">
        <f t="shared" si="9"/>
        <v>605-sacola plastica branca 38x48</v>
      </c>
      <c r="B606" s="1">
        <v>605</v>
      </c>
      <c r="C606" s="1" t="s">
        <v>753</v>
      </c>
      <c r="D606" s="1" t="s">
        <v>754</v>
      </c>
    </row>
    <row r="607" spans="1:4" x14ac:dyDescent="0.25">
      <c r="A607" s="1" t="str">
        <f t="shared" si="9"/>
        <v>606-sacola reforcada verde</v>
      </c>
      <c r="B607" s="1">
        <v>606</v>
      </c>
      <c r="C607" s="1" t="s">
        <v>755</v>
      </c>
      <c r="D607" s="1" t="s">
        <v>754</v>
      </c>
    </row>
    <row r="608" spans="1:4" x14ac:dyDescent="0.25">
      <c r="A608" s="1" t="str">
        <f t="shared" si="9"/>
        <v>607-sacola reciclavel</v>
      </c>
      <c r="B608" s="1">
        <v>607</v>
      </c>
      <c r="C608" s="1" t="s">
        <v>756</v>
      </c>
      <c r="D608" s="1" t="s">
        <v>754</v>
      </c>
    </row>
    <row r="609" spans="1:4" x14ac:dyDescent="0.25">
      <c r="A609" s="1" t="str">
        <f t="shared" si="9"/>
        <v>608-porcao carne de sol</v>
      </c>
      <c r="B609" s="1">
        <v>608</v>
      </c>
      <c r="C609" s="1" t="s">
        <v>757</v>
      </c>
      <c r="D609" s="1" t="s">
        <v>671</v>
      </c>
    </row>
    <row r="610" spans="1:4" x14ac:dyDescent="0.25">
      <c r="A610" s="1" t="str">
        <f t="shared" si="9"/>
        <v>609-prep aipim limpo e cozido</v>
      </c>
      <c r="B610" s="1">
        <v>609</v>
      </c>
      <c r="C610" s="1" t="s">
        <v>758</v>
      </c>
      <c r="D610" s="1" t="s">
        <v>671</v>
      </c>
    </row>
    <row r="611" spans="1:4" x14ac:dyDescent="0.25">
      <c r="A611" s="1" t="str">
        <f t="shared" si="9"/>
        <v>610-prep brocolis limpo e cozido</v>
      </c>
      <c r="B611" s="1">
        <v>610</v>
      </c>
      <c r="C611" s="1" t="s">
        <v>759</v>
      </c>
      <c r="D611" s="1" t="s">
        <v>671</v>
      </c>
    </row>
    <row r="612" spans="1:4" x14ac:dyDescent="0.25">
      <c r="A612" s="1" t="str">
        <f t="shared" si="9"/>
        <v>611-CO CM ARROZ A GREGA</v>
      </c>
      <c r="B612" s="1">
        <v>611</v>
      </c>
      <c r="C612" s="1" t="s">
        <v>760</v>
      </c>
      <c r="D612" s="1" t="s">
        <v>761</v>
      </c>
    </row>
    <row r="613" spans="1:4" x14ac:dyDescent="0.25">
      <c r="A613" s="1" t="str">
        <f t="shared" si="9"/>
        <v>612-CO CM ARROZ A PIAMONTESE</v>
      </c>
      <c r="B613" s="1">
        <v>612</v>
      </c>
      <c r="C613" s="1" t="s">
        <v>762</v>
      </c>
      <c r="D613" s="1" t="s">
        <v>761</v>
      </c>
    </row>
    <row r="614" spans="1:4" x14ac:dyDescent="0.25">
      <c r="A614" s="1" t="str">
        <f t="shared" si="9"/>
        <v>613-CO CM ARROZ BRANCO</v>
      </c>
      <c r="B614" s="1">
        <v>613</v>
      </c>
      <c r="C614" s="1" t="s">
        <v>763</v>
      </c>
      <c r="D614" s="1" t="s">
        <v>761</v>
      </c>
    </row>
    <row r="615" spans="1:4" x14ac:dyDescent="0.25">
      <c r="A615" s="1" t="str">
        <f t="shared" si="9"/>
        <v>614-CO CM ARROZ COM ACAFRAO</v>
      </c>
      <c r="B615" s="1">
        <v>614</v>
      </c>
      <c r="C615" s="1" t="s">
        <v>764</v>
      </c>
      <c r="D615" s="1" t="s">
        <v>761</v>
      </c>
    </row>
    <row r="616" spans="1:4" x14ac:dyDescent="0.25">
      <c r="A616" s="1" t="str">
        <f t="shared" si="9"/>
        <v>615-CO CM ARROZ COM BROCOLIS</v>
      </c>
      <c r="B616" s="1">
        <v>615</v>
      </c>
      <c r="C616" s="1" t="s">
        <v>765</v>
      </c>
      <c r="D616" s="1" t="s">
        <v>761</v>
      </c>
    </row>
    <row r="617" spans="1:4" x14ac:dyDescent="0.25">
      <c r="A617" s="1" t="str">
        <f t="shared" si="9"/>
        <v>616-CO CM ARROZ DE FORNO</v>
      </c>
      <c r="B617" s="1">
        <v>616</v>
      </c>
      <c r="C617" s="1" t="s">
        <v>766</v>
      </c>
      <c r="D617" s="1" t="s">
        <v>761</v>
      </c>
    </row>
    <row r="618" spans="1:4" x14ac:dyDescent="0.25">
      <c r="A618" s="1" t="str">
        <f t="shared" si="9"/>
        <v>617-CO CM ARROZ MALUCO</v>
      </c>
      <c r="B618" s="1">
        <v>617</v>
      </c>
      <c r="C618" s="1" t="s">
        <v>767</v>
      </c>
      <c r="D618" s="1" t="s">
        <v>761</v>
      </c>
    </row>
    <row r="619" spans="1:4" x14ac:dyDescent="0.25">
      <c r="A619" s="1" t="str">
        <f t="shared" si="9"/>
        <v>618-CO CM BAIAO DE DOIS</v>
      </c>
      <c r="B619" s="1">
        <v>618</v>
      </c>
      <c r="C619" s="1" t="s">
        <v>768</v>
      </c>
      <c r="D619" s="1" t="s">
        <v>761</v>
      </c>
    </row>
    <row r="620" spans="1:4" x14ac:dyDescent="0.25">
      <c r="A620" s="1" t="str">
        <f t="shared" si="9"/>
        <v>619-CO EXEC ARROZ A GREGA</v>
      </c>
      <c r="B620" s="1">
        <v>619</v>
      </c>
      <c r="C620" s="1" t="s">
        <v>769</v>
      </c>
      <c r="D620" s="1" t="s">
        <v>761</v>
      </c>
    </row>
    <row r="621" spans="1:4" x14ac:dyDescent="0.25">
      <c r="A621" s="1" t="str">
        <f t="shared" si="9"/>
        <v>620-CO EXEC ARROZ A PIAMONTESE</v>
      </c>
      <c r="B621" s="1">
        <v>620</v>
      </c>
      <c r="C621" s="1" t="s">
        <v>770</v>
      </c>
      <c r="D621" s="1" t="s">
        <v>761</v>
      </c>
    </row>
    <row r="622" spans="1:4" x14ac:dyDescent="0.25">
      <c r="A622" s="1" t="str">
        <f t="shared" si="9"/>
        <v>621-CO EXEC ARROZ BRANCO</v>
      </c>
      <c r="B622" s="1">
        <v>621</v>
      </c>
      <c r="C622" s="1" t="s">
        <v>771</v>
      </c>
      <c r="D622" s="1" t="s">
        <v>761</v>
      </c>
    </row>
    <row r="623" spans="1:4" x14ac:dyDescent="0.25">
      <c r="A623" s="1" t="str">
        <f t="shared" si="9"/>
        <v>622-CO EXEC ARROZ COM ACAFRAO</v>
      </c>
      <c r="B623" s="1">
        <v>622</v>
      </c>
      <c r="C623" s="1" t="s">
        <v>772</v>
      </c>
      <c r="D623" s="1" t="s">
        <v>761</v>
      </c>
    </row>
    <row r="624" spans="1:4" x14ac:dyDescent="0.25">
      <c r="A624" s="1" t="str">
        <f t="shared" si="9"/>
        <v>623-CO EXEC ARROZ COM BROCOLIS</v>
      </c>
      <c r="B624" s="1">
        <v>623</v>
      </c>
      <c r="C624" s="1" t="s">
        <v>773</v>
      </c>
      <c r="D624" s="1" t="s">
        <v>761</v>
      </c>
    </row>
    <row r="625" spans="1:4" x14ac:dyDescent="0.25">
      <c r="A625" s="1" t="str">
        <f t="shared" si="9"/>
        <v>624-CO EXEC ARROZ DE FORNO</v>
      </c>
      <c r="B625" s="1">
        <v>624</v>
      </c>
      <c r="C625" s="1" t="s">
        <v>774</v>
      </c>
      <c r="D625" s="1" t="s">
        <v>761</v>
      </c>
    </row>
    <row r="626" spans="1:4" x14ac:dyDescent="0.25">
      <c r="A626" s="1" t="str">
        <f t="shared" si="9"/>
        <v>625-CO EXEC ARROZ MALUCO</v>
      </c>
      <c r="B626" s="1">
        <v>625</v>
      </c>
      <c r="C626" s="1" t="s">
        <v>775</v>
      </c>
      <c r="D626" s="1" t="s">
        <v>761</v>
      </c>
    </row>
    <row r="627" spans="1:4" x14ac:dyDescent="0.25">
      <c r="A627" s="1" t="str">
        <f t="shared" si="9"/>
        <v>626-CO EXEC BAIAO DE DOIS</v>
      </c>
      <c r="B627" s="1">
        <v>626</v>
      </c>
      <c r="C627" s="1" t="s">
        <v>776</v>
      </c>
      <c r="D627" s="1" t="s">
        <v>761</v>
      </c>
    </row>
    <row r="628" spans="1:4" x14ac:dyDescent="0.25">
      <c r="A628" s="1" t="str">
        <f t="shared" si="9"/>
        <v>627-CO BATATA FRITA</v>
      </c>
      <c r="B628" s="1">
        <v>627</v>
      </c>
      <c r="C628" s="1" t="s">
        <v>777</v>
      </c>
      <c r="D628" s="1" t="s">
        <v>761</v>
      </c>
    </row>
    <row r="629" spans="1:4" x14ac:dyDescent="0.25">
      <c r="A629" s="1" t="str">
        <f t="shared" si="9"/>
        <v>628-CO AIPIM FRITO</v>
      </c>
      <c r="B629" s="1">
        <v>628</v>
      </c>
      <c r="C629" s="1" t="s">
        <v>778</v>
      </c>
      <c r="D629" s="1" t="s">
        <v>761</v>
      </c>
    </row>
    <row r="630" spans="1:4" x14ac:dyDescent="0.25">
      <c r="A630" s="1" t="str">
        <f t="shared" si="9"/>
        <v>629-aperitivo campari mp</v>
      </c>
      <c r="B630" s="1">
        <v>629</v>
      </c>
      <c r="C630" s="1" t="s">
        <v>779</v>
      </c>
      <c r="D630" s="1" t="s">
        <v>780</v>
      </c>
    </row>
    <row r="631" spans="1:4" x14ac:dyDescent="0.25">
      <c r="A631" s="1" t="str">
        <f t="shared" si="9"/>
        <v>630-cachaca 51 ouro mp</v>
      </c>
      <c r="B631" s="1">
        <v>630</v>
      </c>
      <c r="C631" s="1" t="s">
        <v>781</v>
      </c>
      <c r="D631" s="1" t="s">
        <v>782</v>
      </c>
    </row>
    <row r="632" spans="1:4" x14ac:dyDescent="0.25">
      <c r="A632" s="1" t="str">
        <f t="shared" si="9"/>
        <v>631-cachaca 51 prata mp</v>
      </c>
      <c r="B632" s="1">
        <v>631</v>
      </c>
      <c r="C632" s="1" t="s">
        <v>783</v>
      </c>
      <c r="D632" s="1" t="s">
        <v>782</v>
      </c>
    </row>
    <row r="633" spans="1:4" x14ac:dyDescent="0.25">
      <c r="A633" s="1" t="str">
        <f t="shared" si="9"/>
        <v>632-cachaca velho barreiro mp</v>
      </c>
      <c r="B633" s="1">
        <v>632</v>
      </c>
      <c r="C633" s="1" t="s">
        <v>784</v>
      </c>
      <c r="D633" s="1" t="s">
        <v>782</v>
      </c>
    </row>
    <row r="634" spans="1:4" x14ac:dyDescent="0.25">
      <c r="A634" s="1" t="str">
        <f t="shared" si="9"/>
        <v>633-cachaca ypioca 150 mp</v>
      </c>
      <c r="B634" s="1">
        <v>633</v>
      </c>
      <c r="C634" s="1" t="s">
        <v>785</v>
      </c>
      <c r="D634" s="1" t="s">
        <v>782</v>
      </c>
    </row>
    <row r="635" spans="1:4" x14ac:dyDescent="0.25">
      <c r="A635" s="1" t="str">
        <f t="shared" si="9"/>
        <v>634-cachaca ypioca empalhada mp</v>
      </c>
      <c r="B635" s="1">
        <v>634</v>
      </c>
      <c r="C635" s="1" t="s">
        <v>786</v>
      </c>
      <c r="D635" s="1" t="s">
        <v>782</v>
      </c>
    </row>
    <row r="636" spans="1:4" x14ac:dyDescent="0.25">
      <c r="A636" s="1" t="str">
        <f t="shared" si="9"/>
        <v>635-cachaca ypioca ouro mp</v>
      </c>
      <c r="B636" s="1">
        <v>635</v>
      </c>
      <c r="C636" s="1" t="s">
        <v>787</v>
      </c>
      <c r="D636" s="1" t="s">
        <v>782</v>
      </c>
    </row>
    <row r="637" spans="1:4" x14ac:dyDescent="0.25">
      <c r="A637" s="1" t="str">
        <f t="shared" si="9"/>
        <v>636-cachaca ypioca prata mp</v>
      </c>
      <c r="B637" s="1">
        <v>636</v>
      </c>
      <c r="C637" s="1" t="s">
        <v>788</v>
      </c>
      <c r="D637" s="1" t="s">
        <v>782</v>
      </c>
    </row>
    <row r="638" spans="1:4" x14ac:dyDescent="0.25">
      <c r="A638" s="1" t="str">
        <f t="shared" si="9"/>
        <v>637-conhaque dreher mp</v>
      </c>
      <c r="B638" s="1">
        <v>637</v>
      </c>
      <c r="C638" s="1" t="s">
        <v>789</v>
      </c>
      <c r="D638" s="1" t="s">
        <v>790</v>
      </c>
    </row>
    <row r="639" spans="1:4" x14ac:dyDescent="0.25">
      <c r="A639" s="1" t="str">
        <f t="shared" si="9"/>
        <v>638-gin rocks mp</v>
      </c>
      <c r="B639" s="1">
        <v>638</v>
      </c>
      <c r="C639" s="1" t="s">
        <v>791</v>
      </c>
      <c r="D639" s="1" t="s">
        <v>792</v>
      </c>
    </row>
    <row r="640" spans="1:4" x14ac:dyDescent="0.25">
      <c r="A640" s="1" t="str">
        <f t="shared" si="9"/>
        <v>639-gin tanqueray mp</v>
      </c>
      <c r="B640" s="1">
        <v>639</v>
      </c>
      <c r="C640" s="1" t="s">
        <v>793</v>
      </c>
      <c r="D640" s="1" t="s">
        <v>792</v>
      </c>
    </row>
    <row r="641" spans="1:4" x14ac:dyDescent="0.25">
      <c r="A641" s="1" t="str">
        <f t="shared" si="9"/>
        <v>640-licor 43 mp</v>
      </c>
      <c r="B641" s="1">
        <v>640</v>
      </c>
      <c r="C641" s="1" t="s">
        <v>794</v>
      </c>
      <c r="D641" s="1" t="s">
        <v>792</v>
      </c>
    </row>
    <row r="642" spans="1:4" x14ac:dyDescent="0.25">
      <c r="A642" s="1" t="str">
        <f t="shared" si="9"/>
        <v>641-licor cointreau mp</v>
      </c>
      <c r="B642" s="1">
        <v>641</v>
      </c>
      <c r="C642" s="1" t="s">
        <v>795</v>
      </c>
      <c r="D642" s="1" t="s">
        <v>796</v>
      </c>
    </row>
    <row r="643" spans="1:4" x14ac:dyDescent="0.25">
      <c r="A643" s="1" t="str">
        <f t="shared" ref="A643:A706" si="10">B643&amp;"-"&amp;C643</f>
        <v>642-licor creme de menta mp</v>
      </c>
      <c r="B643" s="1">
        <v>642</v>
      </c>
      <c r="C643" s="1" t="s">
        <v>797</v>
      </c>
      <c r="D643" s="1" t="s">
        <v>796</v>
      </c>
    </row>
    <row r="644" spans="1:4" x14ac:dyDescent="0.25">
      <c r="A644" s="1" t="str">
        <f t="shared" si="10"/>
        <v>643-licor curacau blue mp</v>
      </c>
      <c r="B644" s="1">
        <v>643</v>
      </c>
      <c r="C644" s="1" t="s">
        <v>798</v>
      </c>
      <c r="D644" s="1" t="s">
        <v>796</v>
      </c>
    </row>
    <row r="645" spans="1:4" x14ac:dyDescent="0.25">
      <c r="A645" s="1" t="str">
        <f t="shared" si="10"/>
        <v>644-licor fogo paulista mp</v>
      </c>
      <c r="B645" s="1">
        <v>644</v>
      </c>
      <c r="C645" s="1" t="s">
        <v>799</v>
      </c>
      <c r="D645" s="1" t="s">
        <v>796</v>
      </c>
    </row>
    <row r="646" spans="1:4" x14ac:dyDescent="0.25">
      <c r="A646" s="1" t="str">
        <f t="shared" si="10"/>
        <v>645-rum bacardi mp</v>
      </c>
      <c r="B646" s="1">
        <v>645</v>
      </c>
      <c r="C646" s="1" t="s">
        <v>800</v>
      </c>
      <c r="D646" s="1" t="s">
        <v>801</v>
      </c>
    </row>
    <row r="647" spans="1:4" x14ac:dyDescent="0.25">
      <c r="A647" s="1" t="str">
        <f t="shared" si="10"/>
        <v>646-rum malibu mp</v>
      </c>
      <c r="B647" s="1">
        <v>646</v>
      </c>
      <c r="C647" s="1" t="s">
        <v>802</v>
      </c>
      <c r="D647" s="1" t="s">
        <v>801</v>
      </c>
    </row>
    <row r="648" spans="1:4" x14ac:dyDescent="0.25">
      <c r="A648" s="1" t="str">
        <f t="shared" si="10"/>
        <v>647-rum montila ouro mp</v>
      </c>
      <c r="B648" s="1">
        <v>647</v>
      </c>
      <c r="C648" s="1" t="s">
        <v>803</v>
      </c>
      <c r="D648" s="1" t="s">
        <v>801</v>
      </c>
    </row>
    <row r="649" spans="1:4" x14ac:dyDescent="0.25">
      <c r="A649" s="1" t="str">
        <f t="shared" si="10"/>
        <v>648-rum montila prata mp</v>
      </c>
      <c r="B649" s="1">
        <v>648</v>
      </c>
      <c r="C649" s="1" t="s">
        <v>804</v>
      </c>
      <c r="D649" s="1" t="s">
        <v>801</v>
      </c>
    </row>
    <row r="650" spans="1:4" x14ac:dyDescent="0.25">
      <c r="A650" s="1" t="str">
        <f t="shared" si="10"/>
        <v>649-tequila jose cuervo ouro mp</v>
      </c>
      <c r="B650" s="1">
        <v>649</v>
      </c>
      <c r="C650" s="1" t="s">
        <v>805</v>
      </c>
      <c r="D650" s="1" t="s">
        <v>806</v>
      </c>
    </row>
    <row r="651" spans="1:4" x14ac:dyDescent="0.25">
      <c r="A651" s="1" t="str">
        <f t="shared" si="10"/>
        <v>650-tequila jose cuervo prata mp</v>
      </c>
      <c r="B651" s="1">
        <v>650</v>
      </c>
      <c r="C651" s="1" t="s">
        <v>807</v>
      </c>
      <c r="D651" s="1" t="s">
        <v>806</v>
      </c>
    </row>
    <row r="652" spans="1:4" x14ac:dyDescent="0.25">
      <c r="A652" s="1" t="str">
        <f t="shared" si="10"/>
        <v>651-tequila sauza mp</v>
      </c>
      <c r="B652" s="1">
        <v>651</v>
      </c>
      <c r="C652" s="1" t="s">
        <v>808</v>
      </c>
      <c r="D652" s="1" t="s">
        <v>806</v>
      </c>
    </row>
    <row r="653" spans="1:4" x14ac:dyDescent="0.25">
      <c r="A653" s="1" t="str">
        <f t="shared" si="10"/>
        <v>652-tequila tequiloka mp</v>
      </c>
      <c r="B653" s="1">
        <v>652</v>
      </c>
      <c r="C653" s="1" t="s">
        <v>809</v>
      </c>
      <c r="D653" s="1" t="s">
        <v>806</v>
      </c>
    </row>
    <row r="654" spans="1:4" x14ac:dyDescent="0.25">
      <c r="A654" s="1" t="str">
        <f t="shared" si="10"/>
        <v>653-vodka absolut mp</v>
      </c>
      <c r="B654" s="1">
        <v>653</v>
      </c>
      <c r="C654" s="1" t="s">
        <v>810</v>
      </c>
      <c r="D654" s="1" t="s">
        <v>811</v>
      </c>
    </row>
    <row r="655" spans="1:4" x14ac:dyDescent="0.25">
      <c r="A655" s="1" t="str">
        <f t="shared" si="10"/>
        <v>654-vodka ciroc mp</v>
      </c>
      <c r="B655" s="1">
        <v>654</v>
      </c>
      <c r="C655" s="1" t="s">
        <v>812</v>
      </c>
      <c r="D655" s="1" t="s">
        <v>811</v>
      </c>
    </row>
    <row r="656" spans="1:4" x14ac:dyDescent="0.25">
      <c r="A656" s="1" t="str">
        <f t="shared" si="10"/>
        <v>655-vodka orloff mp</v>
      </c>
      <c r="B656" s="1">
        <v>655</v>
      </c>
      <c r="C656" s="1" t="s">
        <v>813</v>
      </c>
      <c r="D656" s="1" t="s">
        <v>811</v>
      </c>
    </row>
    <row r="657" spans="1:4" x14ac:dyDescent="0.25">
      <c r="A657" s="1" t="str">
        <f t="shared" si="10"/>
        <v>656-vodka skyy mp</v>
      </c>
      <c r="B657" s="1">
        <v>656</v>
      </c>
      <c r="C657" s="1" t="s">
        <v>814</v>
      </c>
      <c r="D657" s="1" t="s">
        <v>811</v>
      </c>
    </row>
    <row r="658" spans="1:4" x14ac:dyDescent="0.25">
      <c r="A658" s="1" t="str">
        <f t="shared" si="10"/>
        <v>657-vodka slova mp</v>
      </c>
      <c r="B658" s="1">
        <v>657</v>
      </c>
      <c r="C658" s="1" t="s">
        <v>815</v>
      </c>
      <c r="D658" s="1" t="s">
        <v>811</v>
      </c>
    </row>
    <row r="659" spans="1:4" x14ac:dyDescent="0.25">
      <c r="A659" s="1" t="str">
        <f t="shared" si="10"/>
        <v>658-vodka smirnoff mp</v>
      </c>
      <c r="B659" s="1">
        <v>658</v>
      </c>
      <c r="C659" s="1" t="s">
        <v>816</v>
      </c>
      <c r="D659" s="1" t="s">
        <v>811</v>
      </c>
    </row>
    <row r="660" spans="1:4" x14ac:dyDescent="0.25">
      <c r="A660" s="1" t="str">
        <f t="shared" si="10"/>
        <v>659-whisky ballantines 12a mp</v>
      </c>
      <c r="B660" s="1">
        <v>659</v>
      </c>
      <c r="C660" s="1" t="s">
        <v>817</v>
      </c>
      <c r="D660" s="1" t="s">
        <v>818</v>
      </c>
    </row>
    <row r="661" spans="1:4" x14ac:dyDescent="0.25">
      <c r="A661" s="1" t="str">
        <f t="shared" si="10"/>
        <v>660-whisky ballantines 8a mp</v>
      </c>
      <c r="B661" s="1">
        <v>660</v>
      </c>
      <c r="C661" s="1" t="s">
        <v>819</v>
      </c>
      <c r="D661" s="1" t="s">
        <v>818</v>
      </c>
    </row>
    <row r="662" spans="1:4" x14ac:dyDescent="0.25">
      <c r="A662" s="1" t="str">
        <f t="shared" si="10"/>
        <v>661-whisky black white mp</v>
      </c>
      <c r="B662" s="1">
        <v>661</v>
      </c>
      <c r="C662" s="1" t="s">
        <v>820</v>
      </c>
      <c r="D662" s="1" t="s">
        <v>818</v>
      </c>
    </row>
    <row r="663" spans="1:4" x14ac:dyDescent="0.25">
      <c r="A663" s="1" t="str">
        <f t="shared" si="10"/>
        <v>662-whisky black label mp</v>
      </c>
      <c r="B663" s="1">
        <v>662</v>
      </c>
      <c r="C663" s="1" t="s">
        <v>821</v>
      </c>
      <c r="D663" s="1" t="s">
        <v>818</v>
      </c>
    </row>
    <row r="664" spans="1:4" x14ac:dyDescent="0.25">
      <c r="A664" s="1" t="str">
        <f t="shared" si="10"/>
        <v>663-whisky buchanas deluxe mp</v>
      </c>
      <c r="B664" s="1">
        <v>663</v>
      </c>
      <c r="C664" s="1" t="s">
        <v>822</v>
      </c>
      <c r="D664" s="1" t="s">
        <v>818</v>
      </c>
    </row>
    <row r="665" spans="1:4" x14ac:dyDescent="0.25">
      <c r="A665" s="1" t="str">
        <f t="shared" si="10"/>
        <v>664-whisky chivas regal mp</v>
      </c>
      <c r="B665" s="1">
        <v>664</v>
      </c>
      <c r="C665" s="1" t="s">
        <v>823</v>
      </c>
      <c r="D665" s="1" t="s">
        <v>818</v>
      </c>
    </row>
    <row r="666" spans="1:4" x14ac:dyDescent="0.25">
      <c r="A666" s="1" t="str">
        <f t="shared" si="10"/>
        <v>665-whisky jack daniels mp</v>
      </c>
      <c r="B666" s="1">
        <v>665</v>
      </c>
      <c r="C666" s="1" t="s">
        <v>824</v>
      </c>
      <c r="D666" s="1" t="s">
        <v>818</v>
      </c>
    </row>
    <row r="667" spans="1:4" x14ac:dyDescent="0.25">
      <c r="A667" s="1" t="str">
        <f t="shared" si="10"/>
        <v>666-whisky old parr mp</v>
      </c>
      <c r="B667" s="1">
        <v>666</v>
      </c>
      <c r="C667" s="1" t="s">
        <v>825</v>
      </c>
      <c r="D667" s="1" t="s">
        <v>818</v>
      </c>
    </row>
    <row r="668" spans="1:4" x14ac:dyDescent="0.25">
      <c r="A668" s="1" t="str">
        <f t="shared" si="10"/>
        <v>667-whisky red label mp</v>
      </c>
      <c r="B668" s="1">
        <v>667</v>
      </c>
      <c r="C668" s="1" t="s">
        <v>826</v>
      </c>
      <c r="D668" s="1" t="s">
        <v>818</v>
      </c>
    </row>
    <row r="669" spans="1:4" x14ac:dyDescent="0.25">
      <c r="A669" s="1" t="str">
        <f t="shared" si="10"/>
        <v>668-whisky teachers mp</v>
      </c>
      <c r="B669" s="1">
        <v>668</v>
      </c>
      <c r="C669" s="1" t="s">
        <v>827</v>
      </c>
      <c r="D669" s="1" t="s">
        <v>818</v>
      </c>
    </row>
    <row r="670" spans="1:4" x14ac:dyDescent="0.25">
      <c r="A670" s="1" t="str">
        <f t="shared" si="10"/>
        <v>669-whisky white horse mp</v>
      </c>
      <c r="B670" s="1">
        <v>669</v>
      </c>
      <c r="C670" s="1" t="s">
        <v>828</v>
      </c>
      <c r="D670" s="1" t="s">
        <v>818</v>
      </c>
    </row>
    <row r="671" spans="1:4" x14ac:dyDescent="0.25">
      <c r="A671" s="1" t="str">
        <f t="shared" si="10"/>
        <v>670-BROWNIE NINHO</v>
      </c>
      <c r="B671" s="1">
        <v>670</v>
      </c>
      <c r="C671" s="1" t="s">
        <v>829</v>
      </c>
      <c r="D671" s="1" t="s">
        <v>396</v>
      </c>
    </row>
    <row r="672" spans="1:4" x14ac:dyDescent="0.25">
      <c r="A672" s="1" t="str">
        <f t="shared" si="10"/>
        <v>671-BROWNIE CHOCOLATE</v>
      </c>
      <c r="B672" s="1">
        <v>671</v>
      </c>
      <c r="C672" s="1" t="s">
        <v>830</v>
      </c>
      <c r="D672" s="1" t="s">
        <v>396</v>
      </c>
    </row>
    <row r="673" spans="1:4" x14ac:dyDescent="0.25">
      <c r="A673" s="1" t="str">
        <f t="shared" si="10"/>
        <v>672-BOLO DE POTE NINHO</v>
      </c>
      <c r="B673" s="1">
        <v>672</v>
      </c>
      <c r="C673" s="1" t="s">
        <v>831</v>
      </c>
      <c r="D673" s="1" t="s">
        <v>394</v>
      </c>
    </row>
    <row r="674" spans="1:4" x14ac:dyDescent="0.25">
      <c r="A674" s="1" t="str">
        <f t="shared" si="10"/>
        <v>673-BOLO DE POTE CHOCOLATE</v>
      </c>
      <c r="B674" s="1">
        <v>673</v>
      </c>
      <c r="C674" s="1" t="s">
        <v>832</v>
      </c>
      <c r="D674" s="1" t="s">
        <v>394</v>
      </c>
    </row>
    <row r="675" spans="1:4" x14ac:dyDescent="0.25">
      <c r="A675" s="1" t="str">
        <f t="shared" si="10"/>
        <v>674-CO CACHACA 51 PRATA</v>
      </c>
      <c r="B675" s="1">
        <v>674</v>
      </c>
      <c r="C675" s="1" t="s">
        <v>833</v>
      </c>
      <c r="D675" s="1" t="s">
        <v>761</v>
      </c>
    </row>
    <row r="676" spans="1:4" x14ac:dyDescent="0.25">
      <c r="A676" s="1" t="str">
        <f t="shared" si="10"/>
        <v>675-CO CACHACA VELHO BARREIRO</v>
      </c>
      <c r="B676" s="1">
        <v>675</v>
      </c>
      <c r="C676" s="1" t="s">
        <v>834</v>
      </c>
      <c r="D676" s="1" t="s">
        <v>761</v>
      </c>
    </row>
    <row r="677" spans="1:4" x14ac:dyDescent="0.25">
      <c r="A677" s="1" t="str">
        <f t="shared" si="10"/>
        <v>676-CO CACHACA YPIOCA OURO</v>
      </c>
      <c r="B677" s="1">
        <v>676</v>
      </c>
      <c r="C677" s="1" t="s">
        <v>835</v>
      </c>
      <c r="D677" s="1" t="s">
        <v>761</v>
      </c>
    </row>
    <row r="678" spans="1:4" x14ac:dyDescent="0.25">
      <c r="A678" s="1" t="str">
        <f t="shared" si="10"/>
        <v>677-CO CACHACA YPIOCA PRATA</v>
      </c>
      <c r="B678" s="1">
        <v>677</v>
      </c>
      <c r="C678" s="1" t="s">
        <v>836</v>
      </c>
      <c r="D678" s="1" t="s">
        <v>761</v>
      </c>
    </row>
    <row r="679" spans="1:4" x14ac:dyDescent="0.25">
      <c r="A679" s="1" t="str">
        <f t="shared" si="10"/>
        <v>678-CO ABSOLUT</v>
      </c>
      <c r="B679" s="1">
        <v>678</v>
      </c>
      <c r="C679" s="1" t="s">
        <v>837</v>
      </c>
      <c r="D679" s="1" t="s">
        <v>761</v>
      </c>
    </row>
    <row r="680" spans="1:4" x14ac:dyDescent="0.25">
      <c r="A680" s="1" t="str">
        <f t="shared" si="10"/>
        <v>679-CO ORLOFF</v>
      </c>
      <c r="B680" s="1">
        <v>679</v>
      </c>
      <c r="C680" s="1" t="s">
        <v>838</v>
      </c>
      <c r="D680" s="1" t="s">
        <v>761</v>
      </c>
    </row>
    <row r="681" spans="1:4" x14ac:dyDescent="0.25">
      <c r="A681" s="1" t="str">
        <f t="shared" si="10"/>
        <v>680-CO SLOVA</v>
      </c>
      <c r="B681" s="1">
        <v>680</v>
      </c>
      <c r="C681" s="1" t="s">
        <v>839</v>
      </c>
      <c r="D681" s="1" t="s">
        <v>761</v>
      </c>
    </row>
    <row r="682" spans="1:4" x14ac:dyDescent="0.25">
      <c r="A682" s="1" t="str">
        <f t="shared" si="10"/>
        <v>681-CO SMIRNOFF</v>
      </c>
      <c r="B682" s="1">
        <v>681</v>
      </c>
      <c r="C682" s="1" t="s">
        <v>840</v>
      </c>
      <c r="D682" s="1" t="s">
        <v>761</v>
      </c>
    </row>
    <row r="683" spans="1:4" x14ac:dyDescent="0.25">
      <c r="A683" s="1" t="str">
        <f t="shared" si="10"/>
        <v>682-CO PISC ABSOLUT</v>
      </c>
      <c r="B683" s="1">
        <v>682</v>
      </c>
      <c r="C683" s="1" t="s">
        <v>841</v>
      </c>
      <c r="D683" s="1" t="s">
        <v>761</v>
      </c>
    </row>
    <row r="684" spans="1:4" x14ac:dyDescent="0.25">
      <c r="A684" s="1" t="str">
        <f t="shared" si="10"/>
        <v>683-CO PISC ORLOFF</v>
      </c>
      <c r="B684" s="1">
        <v>683</v>
      </c>
      <c r="C684" s="1" t="s">
        <v>842</v>
      </c>
      <c r="D684" s="1" t="s">
        <v>761</v>
      </c>
    </row>
    <row r="685" spans="1:4" x14ac:dyDescent="0.25">
      <c r="A685" s="1" t="str">
        <f t="shared" si="10"/>
        <v>684-CO PISC SLOVA</v>
      </c>
      <c r="B685" s="1">
        <v>684</v>
      </c>
      <c r="C685" s="1" t="s">
        <v>843</v>
      </c>
      <c r="D685" s="1" t="s">
        <v>761</v>
      </c>
    </row>
    <row r="686" spans="1:4" x14ac:dyDescent="0.25">
      <c r="A686" s="1" t="str">
        <f t="shared" si="10"/>
        <v>685-CO PISC SMIRNOFF</v>
      </c>
      <c r="B686" s="1">
        <v>685</v>
      </c>
      <c r="C686" s="1" t="s">
        <v>844</v>
      </c>
      <c r="D686" s="1" t="s">
        <v>761</v>
      </c>
    </row>
    <row r="687" spans="1:4" x14ac:dyDescent="0.25">
      <c r="A687" s="1" t="str">
        <f t="shared" si="10"/>
        <v>686-LAYS SOUR CREAM</v>
      </c>
      <c r="B687" s="1">
        <v>686</v>
      </c>
      <c r="C687" s="1" t="s">
        <v>845</v>
      </c>
      <c r="D687" s="1" t="s">
        <v>422</v>
      </c>
    </row>
    <row r="688" spans="1:4" x14ac:dyDescent="0.25">
      <c r="A688" s="1" t="str">
        <f t="shared" si="10"/>
        <v>687-mistura de requeijao mp</v>
      </c>
      <c r="B688" s="1">
        <v>687</v>
      </c>
      <c r="C688" s="1" t="s">
        <v>846</v>
      </c>
      <c r="D688" s="1" t="s">
        <v>593</v>
      </c>
    </row>
    <row r="689" spans="1:4" x14ac:dyDescent="0.25">
      <c r="A689" s="1" t="str">
        <f t="shared" si="10"/>
        <v>688-prep farofa</v>
      </c>
      <c r="B689" s="1">
        <v>688</v>
      </c>
      <c r="C689" s="1" t="s">
        <v>847</v>
      </c>
      <c r="D689" s="1" t="s">
        <v>671</v>
      </c>
    </row>
    <row r="690" spans="1:4" x14ac:dyDescent="0.25">
      <c r="A690" s="1" t="str">
        <f t="shared" si="10"/>
        <v>689-prep vinagrete</v>
      </c>
      <c r="B690" s="1">
        <v>689</v>
      </c>
      <c r="C690" s="1" t="s">
        <v>848</v>
      </c>
      <c r="D690" s="1" t="s">
        <v>671</v>
      </c>
    </row>
    <row r="691" spans="1:4" x14ac:dyDescent="0.25">
      <c r="A691" s="1" t="str">
        <f t="shared" si="10"/>
        <v>690-ARROZ A GREGA KG</v>
      </c>
      <c r="B691" s="1">
        <v>690</v>
      </c>
      <c r="C691" s="1" t="s">
        <v>849</v>
      </c>
      <c r="D691" s="1" t="s">
        <v>341</v>
      </c>
    </row>
    <row r="692" spans="1:4" x14ac:dyDescent="0.25">
      <c r="A692" s="1" t="str">
        <f t="shared" si="10"/>
        <v>691-ARROZ A PIAMONTESE KG</v>
      </c>
      <c r="B692" s="1">
        <v>691</v>
      </c>
      <c r="C692" s="1" t="s">
        <v>850</v>
      </c>
      <c r="D692" s="1" t="s">
        <v>341</v>
      </c>
    </row>
    <row r="693" spans="1:4" x14ac:dyDescent="0.25">
      <c r="A693" s="1" t="str">
        <f t="shared" si="10"/>
        <v>692-ARROZ BRANCO KG</v>
      </c>
      <c r="B693" s="1">
        <v>692</v>
      </c>
      <c r="C693" s="1" t="s">
        <v>851</v>
      </c>
      <c r="D693" s="1" t="s">
        <v>341</v>
      </c>
    </row>
    <row r="694" spans="1:4" x14ac:dyDescent="0.25">
      <c r="A694" s="1" t="str">
        <f t="shared" si="10"/>
        <v>693-ARROZ COM ACAFRAO KG</v>
      </c>
      <c r="B694" s="1">
        <v>693</v>
      </c>
      <c r="C694" s="1" t="s">
        <v>852</v>
      </c>
      <c r="D694" s="1" t="s">
        <v>341</v>
      </c>
    </row>
    <row r="695" spans="1:4" x14ac:dyDescent="0.25">
      <c r="A695" s="1" t="str">
        <f t="shared" si="10"/>
        <v>694-ARROZ COM BROCOLIS KG</v>
      </c>
      <c r="B695" s="1">
        <v>694</v>
      </c>
      <c r="C695" s="1" t="s">
        <v>853</v>
      </c>
      <c r="D695" s="1" t="s">
        <v>341</v>
      </c>
    </row>
    <row r="696" spans="1:4" x14ac:dyDescent="0.25">
      <c r="A696" s="1" t="str">
        <f t="shared" si="10"/>
        <v>695-ARROZ DE FORNO KG</v>
      </c>
      <c r="B696" s="1">
        <v>695</v>
      </c>
      <c r="C696" s="1" t="s">
        <v>854</v>
      </c>
      <c r="D696" s="1" t="s">
        <v>341</v>
      </c>
    </row>
    <row r="697" spans="1:4" x14ac:dyDescent="0.25">
      <c r="A697" s="1" t="str">
        <f t="shared" si="10"/>
        <v>696-ARROZ MALUCO KG</v>
      </c>
      <c r="B697" s="1">
        <v>696</v>
      </c>
      <c r="C697" s="1" t="s">
        <v>855</v>
      </c>
      <c r="D697" s="1" t="s">
        <v>341</v>
      </c>
    </row>
    <row r="698" spans="1:4" x14ac:dyDescent="0.25">
      <c r="A698" s="1" t="str">
        <f t="shared" si="10"/>
        <v>697-prep file mignon</v>
      </c>
      <c r="B698" s="1">
        <v>697</v>
      </c>
      <c r="C698" s="1" t="s">
        <v>856</v>
      </c>
      <c r="D698" s="1" t="s">
        <v>671</v>
      </c>
    </row>
    <row r="699" spans="1:4" x14ac:dyDescent="0.25">
      <c r="A699" s="1" t="str">
        <f t="shared" si="10"/>
        <v>698-porcao fettuccine</v>
      </c>
      <c r="B699" s="1">
        <v>698</v>
      </c>
      <c r="C699" s="1" t="s">
        <v>857</v>
      </c>
      <c r="D699" s="1" t="s">
        <v>671</v>
      </c>
    </row>
    <row r="700" spans="1:4" x14ac:dyDescent="0.25">
      <c r="A700" s="1" t="str">
        <f t="shared" si="10"/>
        <v>699-coco verde mp</v>
      </c>
      <c r="B700" s="1">
        <v>699</v>
      </c>
      <c r="C700" s="1" t="s">
        <v>858</v>
      </c>
      <c r="D700" s="1" t="s">
        <v>575</v>
      </c>
    </row>
    <row r="701" spans="1:4" x14ac:dyDescent="0.25">
      <c r="A701" s="1" t="str">
        <f t="shared" si="10"/>
        <v>700-prep salpicao</v>
      </c>
      <c r="B701" s="1">
        <v>700</v>
      </c>
      <c r="C701" s="1" t="s">
        <v>859</v>
      </c>
      <c r="D701" s="1" t="s">
        <v>671</v>
      </c>
    </row>
    <row r="702" spans="1:4" x14ac:dyDescent="0.25">
      <c r="A702" s="1" t="str">
        <f t="shared" si="10"/>
        <v>701-BATATA ROSTI KG</v>
      </c>
      <c r="B702" s="1">
        <v>701</v>
      </c>
      <c r="C702" s="1" t="s">
        <v>860</v>
      </c>
      <c r="D702" s="1" t="s">
        <v>341</v>
      </c>
    </row>
    <row r="703" spans="1:4" x14ac:dyDescent="0.25">
      <c r="A703" s="1" t="str">
        <f t="shared" si="10"/>
        <v>702-MACARRAO ESPAGUETE KG</v>
      </c>
      <c r="B703" s="1">
        <v>702</v>
      </c>
      <c r="C703" s="1" t="s">
        <v>861</v>
      </c>
      <c r="D703" s="1" t="s">
        <v>341</v>
      </c>
    </row>
    <row r="704" spans="1:4" x14ac:dyDescent="0.25">
      <c r="A704" s="1" t="str">
        <f t="shared" si="10"/>
        <v>703-SALADA VERDE KG</v>
      </c>
      <c r="B704" s="1">
        <v>703</v>
      </c>
      <c r="C704" s="1" t="s">
        <v>862</v>
      </c>
      <c r="D704" s="1" t="s">
        <v>341</v>
      </c>
    </row>
    <row r="705" spans="1:4" x14ac:dyDescent="0.25">
      <c r="A705" s="1" t="str">
        <f t="shared" si="10"/>
        <v>704-CO QUENT ARROZ A GREGA</v>
      </c>
      <c r="B705" s="1">
        <v>704</v>
      </c>
      <c r="C705" s="1" t="s">
        <v>863</v>
      </c>
      <c r="D705" s="1" t="s">
        <v>761</v>
      </c>
    </row>
    <row r="706" spans="1:4" x14ac:dyDescent="0.25">
      <c r="A706" s="1" t="str">
        <f t="shared" si="10"/>
        <v>705-CO QUENT ARROZ A PIAMONTESE</v>
      </c>
      <c r="B706" s="1">
        <v>705</v>
      </c>
      <c r="C706" s="1" t="s">
        <v>864</v>
      </c>
      <c r="D706" s="1" t="s">
        <v>761</v>
      </c>
    </row>
    <row r="707" spans="1:4" x14ac:dyDescent="0.25">
      <c r="A707" s="1" t="str">
        <f t="shared" ref="A707:A770" si="11">B707&amp;"-"&amp;C707</f>
        <v>706-CO QUENT ARROZ BRANCO</v>
      </c>
      <c r="B707" s="1">
        <v>706</v>
      </c>
      <c r="C707" s="1" t="s">
        <v>865</v>
      </c>
      <c r="D707" s="1" t="s">
        <v>761</v>
      </c>
    </row>
    <row r="708" spans="1:4" x14ac:dyDescent="0.25">
      <c r="A708" s="1" t="str">
        <f t="shared" si="11"/>
        <v>707-CO QUENT ARROZ COM ACAFRAO</v>
      </c>
      <c r="B708" s="1">
        <v>707</v>
      </c>
      <c r="C708" s="1" t="s">
        <v>866</v>
      </c>
      <c r="D708" s="1" t="s">
        <v>761</v>
      </c>
    </row>
    <row r="709" spans="1:4" x14ac:dyDescent="0.25">
      <c r="A709" s="1" t="str">
        <f t="shared" si="11"/>
        <v>708-CO QUENT ARROZ COM BROCOLIS</v>
      </c>
      <c r="B709" s="1">
        <v>708</v>
      </c>
      <c r="C709" s="1" t="s">
        <v>867</v>
      </c>
      <c r="D709" s="1" t="s">
        <v>761</v>
      </c>
    </row>
    <row r="710" spans="1:4" x14ac:dyDescent="0.25">
      <c r="A710" s="1" t="str">
        <f t="shared" si="11"/>
        <v>709-CO QUENT ARROZ DE FORNO</v>
      </c>
      <c r="B710" s="1">
        <v>709</v>
      </c>
      <c r="C710" s="1" t="s">
        <v>868</v>
      </c>
      <c r="D710" s="1" t="s">
        <v>761</v>
      </c>
    </row>
    <row r="711" spans="1:4" x14ac:dyDescent="0.25">
      <c r="A711" s="1" t="str">
        <f t="shared" si="11"/>
        <v>710-CO QUENT ARROZ MALUCO</v>
      </c>
      <c r="B711" s="1">
        <v>710</v>
      </c>
      <c r="C711" s="1" t="s">
        <v>869</v>
      </c>
      <c r="D711" s="1" t="s">
        <v>761</v>
      </c>
    </row>
    <row r="712" spans="1:4" x14ac:dyDescent="0.25">
      <c r="A712" s="1" t="str">
        <f t="shared" si="11"/>
        <v>711-CO QUENT BAIAO DE DOIS</v>
      </c>
      <c r="B712" s="1">
        <v>711</v>
      </c>
      <c r="C712" s="1" t="s">
        <v>870</v>
      </c>
      <c r="D712" s="1" t="s">
        <v>761</v>
      </c>
    </row>
    <row r="713" spans="1:4" x14ac:dyDescent="0.25">
      <c r="A713" s="1" t="str">
        <f t="shared" si="11"/>
        <v>712-CO COMP ARROZ A GREGA</v>
      </c>
      <c r="B713" s="1">
        <v>712</v>
      </c>
      <c r="C713" s="1" t="s">
        <v>871</v>
      </c>
      <c r="D713" s="1" t="s">
        <v>761</v>
      </c>
    </row>
    <row r="714" spans="1:4" x14ac:dyDescent="0.25">
      <c r="A714" s="1" t="str">
        <f t="shared" si="11"/>
        <v>713-CO COMP ARROZ A PIAMONTESE</v>
      </c>
      <c r="B714" s="1">
        <v>713</v>
      </c>
      <c r="C714" s="1" t="s">
        <v>872</v>
      </c>
      <c r="D714" s="1" t="s">
        <v>761</v>
      </c>
    </row>
    <row r="715" spans="1:4" x14ac:dyDescent="0.25">
      <c r="A715" s="1" t="str">
        <f t="shared" si="11"/>
        <v>714-CO COMP ARROZ BRANCO</v>
      </c>
      <c r="B715" s="1">
        <v>714</v>
      </c>
      <c r="C715" s="1" t="s">
        <v>873</v>
      </c>
      <c r="D715" s="1" t="s">
        <v>761</v>
      </c>
    </row>
    <row r="716" spans="1:4" x14ac:dyDescent="0.25">
      <c r="A716" s="1" t="str">
        <f t="shared" si="11"/>
        <v>715-CO COMP ARROZ COM ACAFRAO</v>
      </c>
      <c r="B716" s="1">
        <v>715</v>
      </c>
      <c r="C716" s="1" t="s">
        <v>874</v>
      </c>
      <c r="D716" s="1" t="s">
        <v>761</v>
      </c>
    </row>
    <row r="717" spans="1:4" x14ac:dyDescent="0.25">
      <c r="A717" s="1" t="str">
        <f t="shared" si="11"/>
        <v>716-CO COMP ARROZ COM BROCOLIS</v>
      </c>
      <c r="B717" s="1">
        <v>716</v>
      </c>
      <c r="C717" s="1" t="s">
        <v>875</v>
      </c>
      <c r="D717" s="1" t="s">
        <v>761</v>
      </c>
    </row>
    <row r="718" spans="1:4" x14ac:dyDescent="0.25">
      <c r="A718" s="1" t="str">
        <f t="shared" si="11"/>
        <v>717-CO COMP ARROZ DE FORNO</v>
      </c>
      <c r="B718" s="1">
        <v>717</v>
      </c>
      <c r="C718" s="1" t="s">
        <v>876</v>
      </c>
      <c r="D718" s="1" t="s">
        <v>761</v>
      </c>
    </row>
    <row r="719" spans="1:4" x14ac:dyDescent="0.25">
      <c r="A719" s="1" t="str">
        <f t="shared" si="11"/>
        <v>718-CO COMP ARROZ MALUCO</v>
      </c>
      <c r="B719" s="1">
        <v>718</v>
      </c>
      <c r="C719" s="1" t="s">
        <v>877</v>
      </c>
      <c r="D719" s="1" t="s">
        <v>761</v>
      </c>
    </row>
    <row r="720" spans="1:4" x14ac:dyDescent="0.25">
      <c r="A720" s="1" t="str">
        <f t="shared" si="11"/>
        <v>719-CO COMP BAIAO DE DOIS</v>
      </c>
      <c r="B720" s="1">
        <v>719</v>
      </c>
      <c r="C720" s="1" t="s">
        <v>878</v>
      </c>
      <c r="D720" s="1" t="s">
        <v>761</v>
      </c>
    </row>
    <row r="721" spans="1:4" x14ac:dyDescent="0.25">
      <c r="A721" s="1" t="str">
        <f t="shared" si="11"/>
        <v>720-CO MEIO ARROZ A GREGA</v>
      </c>
      <c r="B721" s="1">
        <v>720</v>
      </c>
      <c r="C721" s="1" t="s">
        <v>879</v>
      </c>
      <c r="D721" s="1" t="s">
        <v>761</v>
      </c>
    </row>
    <row r="722" spans="1:4" x14ac:dyDescent="0.25">
      <c r="A722" s="1" t="str">
        <f t="shared" si="11"/>
        <v>721-CO MEIO ARROZ A PIAMONTESE</v>
      </c>
      <c r="B722" s="1">
        <v>721</v>
      </c>
      <c r="C722" s="1" t="s">
        <v>880</v>
      </c>
      <c r="D722" s="1" t="s">
        <v>761</v>
      </c>
    </row>
    <row r="723" spans="1:4" x14ac:dyDescent="0.25">
      <c r="A723" s="1" t="str">
        <f t="shared" si="11"/>
        <v>722-CO MEIO ARROZ BRANCO</v>
      </c>
      <c r="B723" s="1">
        <v>722</v>
      </c>
      <c r="C723" s="1" t="s">
        <v>881</v>
      </c>
      <c r="D723" s="1" t="s">
        <v>761</v>
      </c>
    </row>
    <row r="724" spans="1:4" x14ac:dyDescent="0.25">
      <c r="A724" s="1" t="str">
        <f t="shared" si="11"/>
        <v>723-CO MEIO ARROZ COM ACAFRAO</v>
      </c>
      <c r="B724" s="1">
        <v>723</v>
      </c>
      <c r="C724" s="1" t="s">
        <v>882</v>
      </c>
      <c r="D724" s="1" t="s">
        <v>761</v>
      </c>
    </row>
    <row r="725" spans="1:4" x14ac:dyDescent="0.25">
      <c r="A725" s="1" t="str">
        <f t="shared" si="11"/>
        <v>724-CO MEIO ARROZ COM BROCOLIS</v>
      </c>
      <c r="B725" s="1">
        <v>724</v>
      </c>
      <c r="C725" s="1" t="s">
        <v>883</v>
      </c>
      <c r="D725" s="1" t="s">
        <v>761</v>
      </c>
    </row>
    <row r="726" spans="1:4" x14ac:dyDescent="0.25">
      <c r="A726" s="1" t="str">
        <f t="shared" si="11"/>
        <v>725-CO MEIO ARROZ DE FORNO</v>
      </c>
      <c r="B726" s="1">
        <v>725</v>
      </c>
      <c r="C726" s="1" t="s">
        <v>884</v>
      </c>
      <c r="D726" s="1" t="s">
        <v>761</v>
      </c>
    </row>
    <row r="727" spans="1:4" x14ac:dyDescent="0.25">
      <c r="A727" s="1" t="str">
        <f t="shared" si="11"/>
        <v>726-CO MEIO ARROZ MALUCO</v>
      </c>
      <c r="B727" s="1">
        <v>726</v>
      </c>
      <c r="C727" s="1" t="s">
        <v>885</v>
      </c>
      <c r="D727" s="1" t="s">
        <v>761</v>
      </c>
    </row>
    <row r="728" spans="1:4" x14ac:dyDescent="0.25">
      <c r="A728" s="1" t="str">
        <f t="shared" si="11"/>
        <v>727-CO MEIO BAIAO DE DOIS</v>
      </c>
      <c r="B728" s="1">
        <v>727</v>
      </c>
      <c r="C728" s="1" t="s">
        <v>886</v>
      </c>
      <c r="D728" s="1" t="s">
        <v>761</v>
      </c>
    </row>
    <row r="729" spans="1:4" x14ac:dyDescent="0.25">
      <c r="A729" s="1" t="str">
        <f t="shared" si="11"/>
        <v>728-BAIAO DE DOIS KG</v>
      </c>
      <c r="B729" s="1">
        <v>728</v>
      </c>
      <c r="C729" s="1" t="s">
        <v>887</v>
      </c>
      <c r="D729" s="1" t="s">
        <v>341</v>
      </c>
    </row>
    <row r="730" spans="1:4" x14ac:dyDescent="0.25">
      <c r="A730" s="1" t="str">
        <f t="shared" si="11"/>
        <v>729-prep fiambre picado</v>
      </c>
      <c r="B730" s="1">
        <v>729</v>
      </c>
      <c r="C730" s="1" t="s">
        <v>888</v>
      </c>
      <c r="D730" s="1" t="s">
        <v>671</v>
      </c>
    </row>
    <row r="731" spans="1:4" x14ac:dyDescent="0.25">
      <c r="A731" s="1" t="str">
        <f t="shared" si="11"/>
        <v>730-vinho casal garcia mp</v>
      </c>
      <c r="B731" s="1">
        <v>730</v>
      </c>
      <c r="C731" s="1" t="s">
        <v>889</v>
      </c>
      <c r="D731" s="1" t="s">
        <v>890</v>
      </c>
    </row>
    <row r="732" spans="1:4" x14ac:dyDescent="0.25">
      <c r="A732" s="1" t="str">
        <f t="shared" si="11"/>
        <v>731-vinho casileiro del diablo mp</v>
      </c>
      <c r="B732" s="1">
        <v>731</v>
      </c>
      <c r="C732" s="1" t="s">
        <v>891</v>
      </c>
      <c r="D732" s="1" t="s">
        <v>890</v>
      </c>
    </row>
    <row r="733" spans="1:4" x14ac:dyDescent="0.25">
      <c r="A733" s="1" t="str">
        <f t="shared" si="11"/>
        <v>732-vinho o gaucho seco mp</v>
      </c>
      <c r="B733" s="1">
        <v>732</v>
      </c>
      <c r="C733" s="1" t="s">
        <v>892</v>
      </c>
      <c r="D733" s="1" t="s">
        <v>890</v>
      </c>
    </row>
    <row r="734" spans="1:4" x14ac:dyDescent="0.25">
      <c r="A734" s="1" t="str">
        <f t="shared" si="11"/>
        <v>733-vinho o gaucho suave mp</v>
      </c>
      <c r="B734" s="1">
        <v>733</v>
      </c>
      <c r="C734" s="1" t="s">
        <v>893</v>
      </c>
      <c r="D734" s="1" t="s">
        <v>890</v>
      </c>
    </row>
    <row r="735" spans="1:4" x14ac:dyDescent="0.25">
      <c r="A735" s="1" t="str">
        <f t="shared" si="11"/>
        <v>734-vinho quinta do morg seco mp</v>
      </c>
      <c r="B735" s="1">
        <v>734</v>
      </c>
      <c r="C735" s="1" t="s">
        <v>894</v>
      </c>
      <c r="D735" s="1" t="s">
        <v>890</v>
      </c>
    </row>
    <row r="736" spans="1:4" x14ac:dyDescent="0.25">
      <c r="A736" s="1" t="str">
        <f t="shared" si="11"/>
        <v>735-vinho quinta do morg suave mp</v>
      </c>
      <c r="B736" s="1">
        <v>735</v>
      </c>
      <c r="C736" s="1" t="s">
        <v>895</v>
      </c>
      <c r="D736" s="1" t="s">
        <v>890</v>
      </c>
    </row>
    <row r="737" spans="1:4" x14ac:dyDescent="0.25">
      <c r="A737" s="1" t="str">
        <f t="shared" si="11"/>
        <v>736-vinho pergola mp</v>
      </c>
      <c r="B737" s="1">
        <v>736</v>
      </c>
      <c r="C737" s="1" t="s">
        <v>896</v>
      </c>
      <c r="D737" s="1" t="s">
        <v>890</v>
      </c>
    </row>
    <row r="738" spans="1:4" x14ac:dyDescent="0.25">
      <c r="A738" s="1" t="str">
        <f t="shared" si="11"/>
        <v>737-vinho reservado mp</v>
      </c>
      <c r="B738" s="1">
        <v>737</v>
      </c>
      <c r="C738" s="1" t="s">
        <v>897</v>
      </c>
      <c r="D738" s="1" t="s">
        <v>890</v>
      </c>
    </row>
    <row r="739" spans="1:4" x14ac:dyDescent="0.25">
      <c r="A739" s="1" t="str">
        <f t="shared" si="11"/>
        <v>738-vinho saint germain mp</v>
      </c>
      <c r="B739" s="1">
        <v>738</v>
      </c>
      <c r="C739" s="1" t="s">
        <v>898</v>
      </c>
      <c r="D739" s="1" t="s">
        <v>890</v>
      </c>
    </row>
    <row r="740" spans="1:4" x14ac:dyDescent="0.25">
      <c r="A740" s="1" t="str">
        <f t="shared" si="11"/>
        <v>739-figado de frango mp</v>
      </c>
      <c r="B740" s="1">
        <v>739</v>
      </c>
      <c r="C740" s="1" t="s">
        <v>899</v>
      </c>
      <c r="D740" s="1" t="s">
        <v>569</v>
      </c>
    </row>
    <row r="741" spans="1:4" x14ac:dyDescent="0.25">
      <c r="A741" s="1" t="str">
        <f t="shared" si="11"/>
        <v>740-sardinha mp</v>
      </c>
      <c r="B741" s="1">
        <v>740</v>
      </c>
      <c r="C741" s="1" t="s">
        <v>900</v>
      </c>
      <c r="D741" s="1" t="s">
        <v>601</v>
      </c>
    </row>
    <row r="742" spans="1:4" x14ac:dyDescent="0.25">
      <c r="A742" s="1" t="str">
        <f t="shared" si="11"/>
        <v>741-MEIO NUGGET DE FRANGO</v>
      </c>
      <c r="B742" s="1">
        <v>741</v>
      </c>
      <c r="C742" s="1" t="s">
        <v>901</v>
      </c>
      <c r="D742" s="1" t="s">
        <v>261</v>
      </c>
    </row>
    <row r="743" spans="1:4" x14ac:dyDescent="0.25">
      <c r="A743" s="1" t="str">
        <f t="shared" si="11"/>
        <v>742-MEIO NUGGET DE PEIXE</v>
      </c>
      <c r="B743" s="1">
        <v>742</v>
      </c>
      <c r="C743" s="1" t="s">
        <v>902</v>
      </c>
      <c r="D743" s="1" t="s">
        <v>261</v>
      </c>
    </row>
    <row r="744" spans="1:4" x14ac:dyDescent="0.25">
      <c r="A744" s="1" t="str">
        <f t="shared" si="11"/>
        <v>743-PRATO CAMARAO AO ALHO E OLEO</v>
      </c>
      <c r="B744" s="1">
        <v>743</v>
      </c>
      <c r="C744" s="1" t="s">
        <v>903</v>
      </c>
      <c r="D744" s="1" t="s">
        <v>295</v>
      </c>
    </row>
    <row r="745" spans="1:4" x14ac:dyDescent="0.25">
      <c r="A745" s="1" t="str">
        <f t="shared" si="11"/>
        <v>744-LINGUICA TOSCANA</v>
      </c>
      <c r="B745" s="1">
        <v>744</v>
      </c>
      <c r="C745" s="1" t="s">
        <v>904</v>
      </c>
      <c r="D745" s="1" t="s">
        <v>341</v>
      </c>
    </row>
    <row r="746" spans="1:4" x14ac:dyDescent="0.25">
      <c r="A746" s="1" t="str">
        <f t="shared" si="11"/>
        <v>745-VINAGRETE E FAROFA</v>
      </c>
      <c r="B746" s="1">
        <v>745</v>
      </c>
      <c r="C746" s="1" t="s">
        <v>905</v>
      </c>
      <c r="D746" s="1" t="s">
        <v>341</v>
      </c>
    </row>
    <row r="747" spans="1:4" x14ac:dyDescent="0.25">
      <c r="A747" s="1" t="str">
        <f t="shared" si="11"/>
        <v>746-PECAS DE RONDELLI 5 UN</v>
      </c>
      <c r="B747" s="1">
        <v>746</v>
      </c>
      <c r="C747" s="1" t="s">
        <v>906</v>
      </c>
      <c r="D747" s="1" t="s">
        <v>341</v>
      </c>
    </row>
    <row r="748" spans="1:4" x14ac:dyDescent="0.25">
      <c r="A748" s="1" t="str">
        <f t="shared" si="11"/>
        <v>747-DRY MARTINI</v>
      </c>
      <c r="B748" s="1">
        <v>747</v>
      </c>
      <c r="C748" s="1" t="s">
        <v>907</v>
      </c>
      <c r="D748" s="1" t="s">
        <v>146</v>
      </c>
    </row>
    <row r="749" spans="1:4" x14ac:dyDescent="0.25">
      <c r="A749" s="1" t="str">
        <f t="shared" si="11"/>
        <v>748-vermute martini rosato mp</v>
      </c>
      <c r="B749" s="1">
        <v>748</v>
      </c>
      <c r="C749" s="1" t="s">
        <v>908</v>
      </c>
      <c r="D749" s="1" t="s">
        <v>890</v>
      </c>
    </row>
    <row r="750" spans="1:4" x14ac:dyDescent="0.25">
      <c r="A750" s="1" t="str">
        <f t="shared" si="11"/>
        <v>749-vermute martini bianco mp</v>
      </c>
      <c r="B750" s="1">
        <v>749</v>
      </c>
      <c r="C750" s="1" t="s">
        <v>909</v>
      </c>
      <c r="D750" s="1" t="s">
        <v>890</v>
      </c>
    </row>
    <row r="751" spans="1:4" x14ac:dyDescent="0.25">
      <c r="A751" s="1" t="str">
        <f t="shared" si="11"/>
        <v>750-folha de louro mp</v>
      </c>
      <c r="B751" s="1">
        <v>750</v>
      </c>
      <c r="C751" s="1" t="s">
        <v>910</v>
      </c>
      <c r="D751" s="1" t="s">
        <v>637</v>
      </c>
    </row>
    <row r="752" spans="1:4" x14ac:dyDescent="0.25">
      <c r="A752" s="1" t="str">
        <f t="shared" si="11"/>
        <v>751-porcao de fraldinha moida</v>
      </c>
      <c r="B752" s="1">
        <v>751</v>
      </c>
      <c r="C752" s="1" t="s">
        <v>911</v>
      </c>
      <c r="D752" s="1" t="s">
        <v>671</v>
      </c>
    </row>
    <row r="753" spans="1:4" x14ac:dyDescent="0.25">
      <c r="A753" s="1" t="str">
        <f t="shared" si="11"/>
        <v>752-porcao cordao file mignon moid</v>
      </c>
      <c r="B753" s="1">
        <v>752</v>
      </c>
      <c r="C753" s="1" t="s">
        <v>912</v>
      </c>
      <c r="D753" s="1" t="s">
        <v>671</v>
      </c>
    </row>
    <row r="754" spans="1:4" x14ac:dyDescent="0.25">
      <c r="A754" s="1" t="str">
        <f t="shared" si="11"/>
        <v>753-tampa quentinha de isopor m50</v>
      </c>
      <c r="B754" s="1">
        <v>753</v>
      </c>
      <c r="C754" s="1" t="s">
        <v>913</v>
      </c>
      <c r="D754" s="1" t="s">
        <v>433</v>
      </c>
    </row>
    <row r="755" spans="1:4" x14ac:dyDescent="0.25">
      <c r="A755" s="1" t="str">
        <f t="shared" si="11"/>
        <v>754-tampa pote descartavel 100ml</v>
      </c>
      <c r="B755" s="1">
        <v>754</v>
      </c>
      <c r="C755" s="1" t="s">
        <v>914</v>
      </c>
      <c r="D755" s="1" t="s">
        <v>433</v>
      </c>
    </row>
    <row r="756" spans="1:4" x14ac:dyDescent="0.25">
      <c r="A756" s="1" t="str">
        <f t="shared" si="11"/>
        <v>755-costela bovina mp</v>
      </c>
      <c r="B756" s="1">
        <v>755</v>
      </c>
      <c r="C756" s="1" t="s">
        <v>915</v>
      </c>
      <c r="D756" s="1" t="s">
        <v>548</v>
      </c>
    </row>
    <row r="757" spans="1:4" x14ac:dyDescent="0.25">
      <c r="A757" s="1" t="str">
        <f t="shared" si="11"/>
        <v>756-PICOLE PARDAL SUPRA COOKIES</v>
      </c>
      <c r="B757" s="1">
        <v>756</v>
      </c>
      <c r="C757" s="1" t="s">
        <v>916</v>
      </c>
      <c r="D757" s="1" t="s">
        <v>410</v>
      </c>
    </row>
    <row r="758" spans="1:4" x14ac:dyDescent="0.25">
      <c r="A758" s="1" t="str">
        <f t="shared" si="11"/>
        <v>757-PICOLE PARDAL VITA ACAI</v>
      </c>
      <c r="B758" s="1">
        <v>757</v>
      </c>
      <c r="C758" s="1" t="s">
        <v>917</v>
      </c>
      <c r="D758" s="1" t="s">
        <v>410</v>
      </c>
    </row>
    <row r="759" spans="1:4" x14ac:dyDescent="0.25">
      <c r="A759" s="1" t="str">
        <f t="shared" si="11"/>
        <v>758-PICOLE PARDAL VITA CAJA</v>
      </c>
      <c r="B759" s="1">
        <v>758</v>
      </c>
      <c r="C759" s="1" t="s">
        <v>918</v>
      </c>
      <c r="D759" s="1" t="s">
        <v>410</v>
      </c>
    </row>
    <row r="760" spans="1:4" x14ac:dyDescent="0.25">
      <c r="A760" s="1" t="str">
        <f t="shared" si="11"/>
        <v>759-PICOLE PARDAL VITA MORANGO</v>
      </c>
      <c r="B760" s="1">
        <v>759</v>
      </c>
      <c r="C760" s="1" t="s">
        <v>919</v>
      </c>
      <c r="D760" s="1" t="s">
        <v>410</v>
      </c>
    </row>
    <row r="761" spans="1:4" x14ac:dyDescent="0.25">
      <c r="A761" s="1" t="str">
        <f t="shared" si="11"/>
        <v>760-CO SKYY</v>
      </c>
      <c r="B761" s="1">
        <v>760</v>
      </c>
      <c r="C761" s="1" t="s">
        <v>920</v>
      </c>
      <c r="D761" s="1" t="s">
        <v>761</v>
      </c>
    </row>
    <row r="762" spans="1:4" x14ac:dyDescent="0.25">
      <c r="A762" s="1" t="str">
        <f t="shared" si="11"/>
        <v>761-ENERG MONSTER LATA 473ML</v>
      </c>
      <c r="B762" s="1">
        <v>761</v>
      </c>
      <c r="C762" s="1" t="s">
        <v>921</v>
      </c>
      <c r="D762" s="1" t="s">
        <v>110</v>
      </c>
    </row>
    <row r="763" spans="1:4" x14ac:dyDescent="0.25">
      <c r="A763" s="1" t="str">
        <f t="shared" si="11"/>
        <v>762-HOSPEDAGEM E CAFE DA MANHA</v>
      </c>
      <c r="B763" s="1">
        <v>762</v>
      </c>
      <c r="C763" s="1" t="s">
        <v>922</v>
      </c>
      <c r="D763" s="1" t="s">
        <v>437</v>
      </c>
    </row>
    <row r="764" spans="1:4" x14ac:dyDescent="0.25">
      <c r="A764" s="1" t="str">
        <f t="shared" si="11"/>
        <v>763-COCA-COLA ZERO 2L</v>
      </c>
      <c r="B764" s="1">
        <v>763</v>
      </c>
      <c r="C764" s="1" t="s">
        <v>923</v>
      </c>
      <c r="D764" s="1" t="s">
        <v>85</v>
      </c>
    </row>
    <row r="765" spans="1:4" x14ac:dyDescent="0.25">
      <c r="A765" s="1" t="str">
        <f t="shared" si="11"/>
        <v>764-COCA-COLA ZERO 600ML</v>
      </c>
      <c r="B765" s="1">
        <v>764</v>
      </c>
      <c r="C765" s="1" t="s">
        <v>924</v>
      </c>
      <c r="D765" s="1" t="s">
        <v>85</v>
      </c>
    </row>
    <row r="766" spans="1:4" x14ac:dyDescent="0.25">
      <c r="A766" s="1" t="str">
        <f t="shared" si="11"/>
        <v>765-PEIXE FRITO SIMPLES</v>
      </c>
      <c r="B766" s="1">
        <v>765</v>
      </c>
      <c r="C766" s="1" t="s">
        <v>925</v>
      </c>
      <c r="D766" s="1" t="s">
        <v>341</v>
      </c>
    </row>
    <row r="767" spans="1:4" x14ac:dyDescent="0.25">
      <c r="A767" s="1" t="str">
        <f t="shared" si="11"/>
        <v>766-ROLINHOS DE AIPIM</v>
      </c>
      <c r="B767" s="1">
        <v>766</v>
      </c>
      <c r="C767" s="1" t="s">
        <v>926</v>
      </c>
      <c r="D767" s="1" t="s">
        <v>261</v>
      </c>
    </row>
    <row r="768" spans="1:4" x14ac:dyDescent="0.25">
      <c r="A768" s="1" t="str">
        <f t="shared" si="11"/>
        <v>767-GUARANA ANTARCTICA 600ML</v>
      </c>
      <c r="B768" s="1">
        <v>767</v>
      </c>
      <c r="C768" s="1" t="s">
        <v>927</v>
      </c>
      <c r="D768" s="1" t="s">
        <v>85</v>
      </c>
    </row>
    <row r="769" spans="1:4" x14ac:dyDescent="0.25">
      <c r="A769" s="1" t="str">
        <f t="shared" si="11"/>
        <v>768-ENERG RED BULL LATA 250ML</v>
      </c>
      <c r="B769" s="1">
        <v>768</v>
      </c>
      <c r="C769" s="1" t="s">
        <v>928</v>
      </c>
      <c r="D769" s="1" t="s">
        <v>110</v>
      </c>
    </row>
    <row r="770" spans="1:4" x14ac:dyDescent="0.25">
      <c r="A770" s="1" t="str">
        <f t="shared" si="11"/>
        <v>769-HOSPEDAGEM</v>
      </c>
      <c r="B770" s="1">
        <v>769</v>
      </c>
      <c r="C770" s="1" t="s">
        <v>437</v>
      </c>
      <c r="D770" s="1" t="s">
        <v>437</v>
      </c>
    </row>
    <row r="771" spans="1:4" x14ac:dyDescent="0.25">
      <c r="A771" s="1" t="str">
        <f t="shared" ref="A771:A834" si="12">B771&amp;"-"&amp;C771</f>
        <v>770-ESTROGONOFE</v>
      </c>
      <c r="B771" s="1">
        <v>770</v>
      </c>
      <c r="C771" s="1" t="s">
        <v>929</v>
      </c>
      <c r="D771" s="1" t="s">
        <v>429</v>
      </c>
    </row>
    <row r="772" spans="1:4" x14ac:dyDescent="0.25">
      <c r="A772" s="1" t="str">
        <f t="shared" si="12"/>
        <v>771-SORV PARDAL FUN MOCA LIN 140ML</v>
      </c>
      <c r="B772" s="1">
        <v>771</v>
      </c>
      <c r="C772" s="1" t="s">
        <v>930</v>
      </c>
      <c r="D772" s="1" t="s">
        <v>415</v>
      </c>
    </row>
    <row r="773" spans="1:4" x14ac:dyDescent="0.25">
      <c r="A773" s="1" t="str">
        <f t="shared" si="12"/>
        <v>772-TACA VINHO PERGOLA</v>
      </c>
      <c r="B773" s="1">
        <v>772</v>
      </c>
      <c r="C773" s="1" t="s">
        <v>931</v>
      </c>
      <c r="D773" s="1" t="s">
        <v>247</v>
      </c>
    </row>
    <row r="774" spans="1:4" x14ac:dyDescent="0.25">
      <c r="A774" s="1" t="str">
        <f t="shared" si="12"/>
        <v>773-feijao carioca mp</v>
      </c>
      <c r="B774" s="1">
        <v>773</v>
      </c>
      <c r="C774" s="1" t="s">
        <v>932</v>
      </c>
      <c r="D774" s="1" t="s">
        <v>605</v>
      </c>
    </row>
    <row r="775" spans="1:4" x14ac:dyDescent="0.25">
      <c r="A775" s="1" t="str">
        <f t="shared" si="12"/>
        <v>774-file de camarao mp</v>
      </c>
      <c r="B775" s="1">
        <v>774</v>
      </c>
      <c r="C775" s="1" t="s">
        <v>933</v>
      </c>
      <c r="D775" s="1" t="s">
        <v>601</v>
      </c>
    </row>
    <row r="776" spans="1:4" x14ac:dyDescent="0.25">
      <c r="A776" s="1" t="str">
        <f t="shared" si="12"/>
        <v>775-colher de mesa inox</v>
      </c>
      <c r="B776" s="1">
        <v>775</v>
      </c>
      <c r="C776" s="1" t="s">
        <v>934</v>
      </c>
      <c r="D776" s="1" t="s">
        <v>935</v>
      </c>
    </row>
    <row r="777" spans="1:4" x14ac:dyDescent="0.25">
      <c r="A777" s="1" t="str">
        <f t="shared" si="12"/>
        <v>776-travesa 30cm</v>
      </c>
      <c r="B777" s="1">
        <v>776</v>
      </c>
      <c r="C777" s="1" t="s">
        <v>936</v>
      </c>
      <c r="D777" s="1" t="s">
        <v>937</v>
      </c>
    </row>
    <row r="778" spans="1:4" x14ac:dyDescent="0.25">
      <c r="A778" s="1" t="str">
        <f t="shared" si="12"/>
        <v>777-travessa 35cm</v>
      </c>
      <c r="B778" s="1">
        <v>777</v>
      </c>
      <c r="C778" s="1" t="s">
        <v>938</v>
      </c>
      <c r="D778" s="1" t="s">
        <v>937</v>
      </c>
    </row>
    <row r="779" spans="1:4" x14ac:dyDescent="0.25">
      <c r="A779" s="1" t="str">
        <f t="shared" si="12"/>
        <v>778-pote com tampa 5.5L</v>
      </c>
      <c r="B779" s="1">
        <v>778</v>
      </c>
      <c r="C779" s="1" t="s">
        <v>939</v>
      </c>
      <c r="D779" s="1" t="s">
        <v>937</v>
      </c>
    </row>
    <row r="780" spans="1:4" x14ac:dyDescent="0.25">
      <c r="A780" s="1" t="str">
        <f t="shared" si="12"/>
        <v>779-frigideira francesa 28cm</v>
      </c>
      <c r="B780" s="1">
        <v>779</v>
      </c>
      <c r="C780" s="1" t="s">
        <v>940</v>
      </c>
      <c r="D780" s="1" t="s">
        <v>941</v>
      </c>
    </row>
    <row r="781" spans="1:4" x14ac:dyDescent="0.25">
      <c r="A781" s="1" t="str">
        <f t="shared" si="12"/>
        <v>780-frigideira aluminio 16cm</v>
      </c>
      <c r="B781" s="1">
        <v>780</v>
      </c>
      <c r="C781" s="1" t="s">
        <v>942</v>
      </c>
      <c r="D781" s="1" t="s">
        <v>941</v>
      </c>
    </row>
    <row r="782" spans="1:4" x14ac:dyDescent="0.25">
      <c r="A782" s="1" t="str">
        <f t="shared" si="12"/>
        <v>781-PICOLE PARDAL SUPRA PISTACHE</v>
      </c>
      <c r="B782" s="1">
        <v>781</v>
      </c>
      <c r="C782" s="1" t="s">
        <v>943</v>
      </c>
      <c r="D782" s="1" t="s">
        <v>410</v>
      </c>
    </row>
    <row r="783" spans="1:4" x14ac:dyDescent="0.25">
      <c r="A783" s="1" t="str">
        <f t="shared" si="12"/>
        <v>782-BARRA CHOCOLATE GAROTO CORES</v>
      </c>
      <c r="B783" s="1">
        <v>782</v>
      </c>
      <c r="C783" s="1" t="s">
        <v>944</v>
      </c>
      <c r="D783" s="1" t="s">
        <v>408</v>
      </c>
    </row>
    <row r="784" spans="1:4" x14ac:dyDescent="0.25">
      <c r="A784" s="1" t="str">
        <f t="shared" si="12"/>
        <v>783-BARRA CHOCOLATE GAROTO CROCANT</v>
      </c>
      <c r="B784" s="1">
        <v>783</v>
      </c>
      <c r="C784" s="1" t="s">
        <v>945</v>
      </c>
      <c r="D784" s="1" t="s">
        <v>408</v>
      </c>
    </row>
    <row r="785" spans="1:4" x14ac:dyDescent="0.25">
      <c r="A785" s="1" t="str">
        <f t="shared" si="12"/>
        <v>784-BARRA CHOCOLATE GAROTO LEITE</v>
      </c>
      <c r="B785" s="1">
        <v>784</v>
      </c>
      <c r="C785" s="1" t="s">
        <v>946</v>
      </c>
      <c r="D785" s="1" t="s">
        <v>408</v>
      </c>
    </row>
    <row r="786" spans="1:4" x14ac:dyDescent="0.25">
      <c r="A786" s="1" t="str">
        <f t="shared" si="12"/>
        <v>785-SORV QUICK SUNDAE</v>
      </c>
      <c r="B786" s="1">
        <v>785</v>
      </c>
      <c r="C786" s="1" t="s">
        <v>947</v>
      </c>
      <c r="D786" s="1" t="s">
        <v>415</v>
      </c>
    </row>
    <row r="787" spans="1:4" x14ac:dyDescent="0.25">
      <c r="A787" s="1" t="str">
        <f t="shared" si="12"/>
        <v>786-SORV QUICK CONE</v>
      </c>
      <c r="B787" s="1">
        <v>786</v>
      </c>
      <c r="C787" s="1" t="s">
        <v>948</v>
      </c>
      <c r="D787" s="1" t="s">
        <v>415</v>
      </c>
    </row>
    <row r="788" spans="1:4" x14ac:dyDescent="0.25">
      <c r="A788" s="1" t="str">
        <f t="shared" si="12"/>
        <v>787-SORV QUICK MAIS</v>
      </c>
      <c r="B788" s="1">
        <v>787</v>
      </c>
      <c r="C788" s="1" t="s">
        <v>949</v>
      </c>
      <c r="D788" s="1" t="s">
        <v>415</v>
      </c>
    </row>
    <row r="789" spans="1:4" x14ac:dyDescent="0.25">
      <c r="A789" s="1" t="str">
        <f t="shared" si="12"/>
        <v>788-SORV QUICK MINI</v>
      </c>
      <c r="B789" s="1">
        <v>788</v>
      </c>
      <c r="C789" s="1" t="s">
        <v>950</v>
      </c>
      <c r="D789" s="1" t="s">
        <v>415</v>
      </c>
    </row>
    <row r="790" spans="1:4" x14ac:dyDescent="0.25">
      <c r="A790" s="1" t="str">
        <f t="shared" si="12"/>
        <v>789-azeite de dende mp</v>
      </c>
      <c r="B790" s="1">
        <v>789</v>
      </c>
      <c r="C790" s="1" t="s">
        <v>951</v>
      </c>
      <c r="D790" s="1" t="s">
        <v>599</v>
      </c>
    </row>
    <row r="791" spans="1:4" x14ac:dyDescent="0.25">
      <c r="A791" s="1" t="str">
        <f t="shared" si="12"/>
        <v>790-SKOL BEATS SENSES LATA 269ML</v>
      </c>
      <c r="B791" s="1">
        <v>790</v>
      </c>
      <c r="C791" s="1" t="s">
        <v>952</v>
      </c>
      <c r="D791" s="1" t="s">
        <v>953</v>
      </c>
    </row>
    <row r="792" spans="1:4" x14ac:dyDescent="0.25">
      <c r="A792" s="1" t="str">
        <f t="shared" si="12"/>
        <v>791-PRATO FEITO DE LINGUICA</v>
      </c>
      <c r="B792" s="1">
        <v>791</v>
      </c>
      <c r="C792" s="1" t="s">
        <v>954</v>
      </c>
      <c r="D792" s="1" t="s">
        <v>327</v>
      </c>
    </row>
    <row r="793" spans="1:4" x14ac:dyDescent="0.25">
      <c r="A793" s="1" t="str">
        <f t="shared" si="12"/>
        <v>792-SALPICAO</v>
      </c>
      <c r="B793" s="1">
        <v>792</v>
      </c>
      <c r="C793" s="1" t="s">
        <v>955</v>
      </c>
      <c r="D793" s="1" t="s">
        <v>429</v>
      </c>
    </row>
    <row r="794" spans="1:4" x14ac:dyDescent="0.25">
      <c r="A794" s="1" t="str">
        <f t="shared" si="12"/>
        <v>793-SORV PARDAL ORIG ACAI BAN 1,5L</v>
      </c>
      <c r="B794" s="1">
        <v>793</v>
      </c>
      <c r="C794" s="1" t="s">
        <v>956</v>
      </c>
      <c r="D794" s="1" t="s">
        <v>415</v>
      </c>
    </row>
    <row r="795" spans="1:4" x14ac:dyDescent="0.25">
      <c r="A795" s="1" t="str">
        <f t="shared" si="12"/>
        <v>794-SORV PARDAL ORIG CASTANHA 1,5L</v>
      </c>
      <c r="B795" s="1">
        <v>794</v>
      </c>
      <c r="C795" s="1" t="s">
        <v>957</v>
      </c>
      <c r="D795" s="1" t="s">
        <v>415</v>
      </c>
    </row>
    <row r="796" spans="1:4" x14ac:dyDescent="0.25">
      <c r="A796" s="1" t="str">
        <f t="shared" si="12"/>
        <v>795-SORV PARDAL ORIG CREME PA 1,5L</v>
      </c>
      <c r="B796" s="1">
        <v>795</v>
      </c>
      <c r="C796" s="1" t="s">
        <v>958</v>
      </c>
      <c r="D796" s="1" t="s">
        <v>415</v>
      </c>
    </row>
    <row r="797" spans="1:4" x14ac:dyDescent="0.25">
      <c r="A797" s="1" t="str">
        <f t="shared" si="12"/>
        <v>796-SORV PARDAL ORIG MILHO 1,5L</v>
      </c>
      <c r="B797" s="1">
        <v>796</v>
      </c>
      <c r="C797" s="1" t="s">
        <v>959</v>
      </c>
      <c r="D797" s="1" t="s">
        <v>415</v>
      </c>
    </row>
    <row r="798" spans="1:4" x14ac:dyDescent="0.25">
      <c r="A798" s="1" t="str">
        <f t="shared" si="12"/>
        <v>797-SORV PARDAL ORIG NATA GO 1,5L</v>
      </c>
      <c r="B798" s="1">
        <v>797</v>
      </c>
      <c r="C798" s="1" t="s">
        <v>960</v>
      </c>
      <c r="D798" s="1" t="s">
        <v>415</v>
      </c>
    </row>
    <row r="799" spans="1:4" x14ac:dyDescent="0.25">
      <c r="A799" s="1" t="str">
        <f t="shared" si="12"/>
        <v>798-SORV PARDAL ORIG TAPIOCA 1,5L</v>
      </c>
      <c r="B799" s="1">
        <v>798</v>
      </c>
      <c r="C799" s="1" t="s">
        <v>961</v>
      </c>
      <c r="D799" s="1" t="s">
        <v>415</v>
      </c>
    </row>
    <row r="800" spans="1:4" x14ac:dyDescent="0.25">
      <c r="A800" s="1" t="str">
        <f t="shared" si="12"/>
        <v>799-SORV PARDAL CLASS BRIGAD 1,5L</v>
      </c>
      <c r="B800" s="1">
        <v>799</v>
      </c>
      <c r="C800" s="1" t="s">
        <v>962</v>
      </c>
      <c r="D800" s="1" t="s">
        <v>415</v>
      </c>
    </row>
    <row r="801" spans="1:4" x14ac:dyDescent="0.25">
      <c r="A801" s="1" t="str">
        <f t="shared" si="12"/>
        <v>800-SORV PARDAL CLASS CREME 1,5L</v>
      </c>
      <c r="B801" s="1">
        <v>800</v>
      </c>
      <c r="C801" s="1" t="s">
        <v>963</v>
      </c>
      <c r="D801" s="1" t="s">
        <v>415</v>
      </c>
    </row>
    <row r="802" spans="1:4" x14ac:dyDescent="0.25">
      <c r="A802" s="1" t="str">
        <f t="shared" si="12"/>
        <v>801-SORV PARDAL CLASS FLOCOS 1,5L</v>
      </c>
      <c r="B802" s="1">
        <v>801</v>
      </c>
      <c r="C802" s="1" t="s">
        <v>964</v>
      </c>
      <c r="D802" s="1" t="s">
        <v>415</v>
      </c>
    </row>
    <row r="803" spans="1:4" x14ac:dyDescent="0.25">
      <c r="A803" s="1" t="str">
        <f t="shared" si="12"/>
        <v>802-SORV PARDAL CLASS MORANGO 1,5L</v>
      </c>
      <c r="B803" s="1">
        <v>802</v>
      </c>
      <c r="C803" s="1" t="s">
        <v>965</v>
      </c>
      <c r="D803" s="1" t="s">
        <v>415</v>
      </c>
    </row>
    <row r="804" spans="1:4" x14ac:dyDescent="0.25">
      <c r="A804" s="1" t="str">
        <f t="shared" si="12"/>
        <v>803-SORV PARDAL CLASS NAPOLIT 1,5L</v>
      </c>
      <c r="B804" s="1">
        <v>803</v>
      </c>
      <c r="C804" s="1" t="s">
        <v>966</v>
      </c>
      <c r="D804" s="1" t="s">
        <v>415</v>
      </c>
    </row>
    <row r="805" spans="1:4" x14ac:dyDescent="0.25">
      <c r="A805" s="1" t="str">
        <f t="shared" si="12"/>
        <v>804-SORV PARDAL CLASS PAVE 1,5L</v>
      </c>
      <c r="B805" s="1">
        <v>804</v>
      </c>
      <c r="C805" s="1" t="s">
        <v>967</v>
      </c>
      <c r="D805" s="1" t="s">
        <v>415</v>
      </c>
    </row>
    <row r="806" spans="1:4" x14ac:dyDescent="0.25">
      <c r="A806" s="1" t="str">
        <f t="shared" si="12"/>
        <v>805-SORV PARDAL FUN 3 CHOC 1,5L</v>
      </c>
      <c r="B806" s="1">
        <v>805</v>
      </c>
      <c r="C806" s="1" t="s">
        <v>968</v>
      </c>
      <c r="D806" s="1" t="s">
        <v>415</v>
      </c>
    </row>
    <row r="807" spans="1:4" x14ac:dyDescent="0.25">
      <c r="A807" s="1" t="str">
        <f t="shared" si="12"/>
        <v>806-SORV PARDAL FUN DOCE LEIT 1,5L</v>
      </c>
      <c r="B807" s="1">
        <v>806</v>
      </c>
      <c r="C807" s="1" t="s">
        <v>969</v>
      </c>
      <c r="D807" s="1" t="s">
        <v>415</v>
      </c>
    </row>
    <row r="808" spans="1:4" x14ac:dyDescent="0.25">
      <c r="A808" s="1" t="str">
        <f t="shared" si="12"/>
        <v>807-SORV PARDAL FUN MENTA 1,5L</v>
      </c>
      <c r="B808" s="1">
        <v>807</v>
      </c>
      <c r="C808" s="1" t="s">
        <v>970</v>
      </c>
      <c r="D808" s="1" t="s">
        <v>415</v>
      </c>
    </row>
    <row r="809" spans="1:4" x14ac:dyDescent="0.25">
      <c r="A809" s="1" t="str">
        <f t="shared" si="12"/>
        <v>808-SORV PARDAL FUN MOCA LIND 1,5L</v>
      </c>
      <c r="B809" s="1">
        <v>808</v>
      </c>
      <c r="C809" s="1" t="s">
        <v>971</v>
      </c>
      <c r="D809" s="1" t="s">
        <v>415</v>
      </c>
    </row>
    <row r="810" spans="1:4" x14ac:dyDescent="0.25">
      <c r="A810" s="1" t="str">
        <f t="shared" si="12"/>
        <v>809-FETTUCCINE A BOLONHESA</v>
      </c>
      <c r="B810" s="1">
        <v>809</v>
      </c>
      <c r="C810" s="1" t="s">
        <v>972</v>
      </c>
      <c r="D810" s="1" t="s">
        <v>310</v>
      </c>
    </row>
    <row r="811" spans="1:4" x14ac:dyDescent="0.25">
      <c r="A811" s="1" t="str">
        <f t="shared" si="12"/>
        <v>810-TRIDENT HORTELA</v>
      </c>
      <c r="B811" s="1">
        <v>810</v>
      </c>
      <c r="C811" s="1" t="s">
        <v>973</v>
      </c>
      <c r="D811" s="1" t="s">
        <v>408</v>
      </c>
    </row>
    <row r="812" spans="1:4" x14ac:dyDescent="0.25">
      <c r="A812" s="1" t="str">
        <f t="shared" si="12"/>
        <v>811-HALLS MENTA</v>
      </c>
      <c r="B812" s="1">
        <v>811</v>
      </c>
      <c r="C812" s="1" t="s">
        <v>974</v>
      </c>
      <c r="D812" s="1" t="s">
        <v>408</v>
      </c>
    </row>
    <row r="813" spans="1:4" x14ac:dyDescent="0.25">
      <c r="A813" s="1" t="str">
        <f t="shared" si="12"/>
        <v>812-HALLS EXTRA FORTE</v>
      </c>
      <c r="B813" s="1">
        <v>812</v>
      </c>
      <c r="C813" s="1" t="s">
        <v>975</v>
      </c>
      <c r="D813" s="1" t="s">
        <v>408</v>
      </c>
    </row>
    <row r="814" spans="1:4" x14ac:dyDescent="0.25">
      <c r="A814" s="1" t="str">
        <f t="shared" si="12"/>
        <v>813-COPO YPIOCA OURO</v>
      </c>
      <c r="B814" s="1">
        <v>813</v>
      </c>
      <c r="C814" s="1" t="s">
        <v>976</v>
      </c>
      <c r="D814" s="1" t="s">
        <v>157</v>
      </c>
    </row>
    <row r="815" spans="1:4" x14ac:dyDescent="0.25">
      <c r="A815" s="1" t="str">
        <f t="shared" si="12"/>
        <v>814-COPO YPIOCA PRATA</v>
      </c>
      <c r="B815" s="1">
        <v>814</v>
      </c>
      <c r="C815" s="1" t="s">
        <v>977</v>
      </c>
      <c r="D815" s="1" t="s">
        <v>157</v>
      </c>
    </row>
    <row r="816" spans="1:4" x14ac:dyDescent="0.25">
      <c r="A816" s="1" t="str">
        <f t="shared" si="12"/>
        <v>815-PRATO FEITO MISTO</v>
      </c>
      <c r="B816" s="1">
        <v>815</v>
      </c>
      <c r="C816" s="1" t="s">
        <v>978</v>
      </c>
      <c r="D816" s="1" t="s">
        <v>327</v>
      </c>
    </row>
    <row r="817" spans="1:4" x14ac:dyDescent="0.25">
      <c r="A817" s="1" t="str">
        <f t="shared" si="12"/>
        <v>816-BUDWEISER LN 330ML</v>
      </c>
      <c r="B817" s="1">
        <v>816</v>
      </c>
      <c r="C817" s="1" t="s">
        <v>979</v>
      </c>
      <c r="D817" s="1" t="s">
        <v>113</v>
      </c>
    </row>
    <row r="818" spans="1:4" x14ac:dyDescent="0.25">
      <c r="A818" s="1" t="str">
        <f t="shared" si="12"/>
        <v>817-FEIJAO BRANCO</v>
      </c>
      <c r="B818" s="1">
        <v>817</v>
      </c>
      <c r="C818" s="1" t="s">
        <v>980</v>
      </c>
      <c r="D818" s="1" t="s">
        <v>341</v>
      </c>
    </row>
    <row r="819" spans="1:4" x14ac:dyDescent="0.25">
      <c r="A819" s="1" t="str">
        <f t="shared" si="12"/>
        <v>818-SORV PARDAL ORIG COCO RAP 1,5L</v>
      </c>
      <c r="B819" s="1">
        <v>818</v>
      </c>
      <c r="C819" s="1" t="s">
        <v>981</v>
      </c>
      <c r="D819" s="1" t="s">
        <v>415</v>
      </c>
    </row>
    <row r="820" spans="1:4" x14ac:dyDescent="0.25">
      <c r="A820" s="1" t="str">
        <f t="shared" si="12"/>
        <v>819-SORV PARDAL CLASS BRIGAD 440ML</v>
      </c>
      <c r="B820" s="1">
        <v>819</v>
      </c>
      <c r="C820" s="1" t="s">
        <v>982</v>
      </c>
      <c r="D820" s="1" t="s">
        <v>415</v>
      </c>
    </row>
    <row r="821" spans="1:4" x14ac:dyDescent="0.25">
      <c r="A821" s="1" t="str">
        <f t="shared" si="12"/>
        <v>820-SORV PARDAL ORIG CASTANH 440ML</v>
      </c>
      <c r="B821" s="1">
        <v>820</v>
      </c>
      <c r="C821" s="1" t="s">
        <v>983</v>
      </c>
      <c r="D821" s="1" t="s">
        <v>415</v>
      </c>
    </row>
    <row r="822" spans="1:4" x14ac:dyDescent="0.25">
      <c r="A822" s="1" t="str">
        <f t="shared" si="12"/>
        <v>821-SORV PARDAL CLASS FLOCOS 440ML</v>
      </c>
      <c r="B822" s="1">
        <v>821</v>
      </c>
      <c r="C822" s="1" t="s">
        <v>984</v>
      </c>
      <c r="D822" s="1" t="s">
        <v>415</v>
      </c>
    </row>
    <row r="823" spans="1:4" x14ac:dyDescent="0.25">
      <c r="A823" s="1" t="str">
        <f t="shared" si="12"/>
        <v>822-SORV PARDAL FUN MENTA 440ML</v>
      </c>
      <c r="B823" s="1">
        <v>822</v>
      </c>
      <c r="C823" s="1" t="s">
        <v>985</v>
      </c>
      <c r="D823" s="1" t="s">
        <v>415</v>
      </c>
    </row>
    <row r="824" spans="1:4" x14ac:dyDescent="0.25">
      <c r="A824" s="1" t="str">
        <f t="shared" si="12"/>
        <v>823-SORV PARDAL CLASS NAPOLI 440ML</v>
      </c>
      <c r="B824" s="1">
        <v>823</v>
      </c>
      <c r="C824" s="1" t="s">
        <v>986</v>
      </c>
      <c r="D824" s="1" t="s">
        <v>415</v>
      </c>
    </row>
    <row r="825" spans="1:4" x14ac:dyDescent="0.25">
      <c r="A825" s="1" t="str">
        <f t="shared" si="12"/>
        <v>824-SORV PARDAL FUN 3 CHOC 440ML</v>
      </c>
      <c r="B825" s="1">
        <v>824</v>
      </c>
      <c r="C825" s="1" t="s">
        <v>987</v>
      </c>
      <c r="D825" s="1" t="s">
        <v>415</v>
      </c>
    </row>
    <row r="826" spans="1:4" x14ac:dyDescent="0.25">
      <c r="A826" s="1" t="str">
        <f t="shared" si="12"/>
        <v>825-POTE MOLHO MADEIRA</v>
      </c>
      <c r="B826" s="1">
        <v>825</v>
      </c>
      <c r="C826" s="1" t="s">
        <v>988</v>
      </c>
      <c r="D826" s="1" t="s">
        <v>341</v>
      </c>
    </row>
    <row r="827" spans="1:4" x14ac:dyDescent="0.25">
      <c r="A827" s="1" t="str">
        <f t="shared" si="12"/>
        <v>826-COCA-COLA 1L</v>
      </c>
      <c r="B827" s="1">
        <v>826</v>
      </c>
      <c r="C827" s="1" t="s">
        <v>989</v>
      </c>
      <c r="D827" s="1" t="s">
        <v>85</v>
      </c>
    </row>
    <row r="828" spans="1:4" x14ac:dyDescent="0.25">
      <c r="A828" s="1" t="str">
        <f t="shared" si="12"/>
        <v>827-COCA-COLA ZERO 1L</v>
      </c>
      <c r="B828" s="1">
        <v>827</v>
      </c>
      <c r="C828" s="1" t="s">
        <v>990</v>
      </c>
      <c r="D828" s="1" t="s">
        <v>85</v>
      </c>
    </row>
    <row r="829" spans="1:4" x14ac:dyDescent="0.25">
      <c r="A829" s="1" t="str">
        <f t="shared" si="12"/>
        <v>828-CHURRASCO A GAUCHO SIMPLES</v>
      </c>
      <c r="B829" s="1">
        <v>828</v>
      </c>
      <c r="C829" s="1" t="s">
        <v>991</v>
      </c>
      <c r="D829" s="1" t="s">
        <v>341</v>
      </c>
    </row>
    <row r="830" spans="1:4" x14ac:dyDescent="0.25">
      <c r="A830" s="1" t="str">
        <f t="shared" si="12"/>
        <v>829-conhaque domecq mp</v>
      </c>
      <c r="B830" s="1">
        <v>829</v>
      </c>
      <c r="C830" s="1" t="s">
        <v>992</v>
      </c>
      <c r="D830" s="1" t="s">
        <v>790</v>
      </c>
    </row>
    <row r="831" spans="1:4" x14ac:dyDescent="0.25">
      <c r="A831" s="1" t="str">
        <f t="shared" si="12"/>
        <v>830-DOSE CONHAQUE DOMECQ</v>
      </c>
      <c r="B831" s="1">
        <v>830</v>
      </c>
      <c r="C831" s="1" t="s">
        <v>993</v>
      </c>
      <c r="D831" s="1" t="s">
        <v>173</v>
      </c>
    </row>
    <row r="832" spans="1:4" x14ac:dyDescent="0.25">
      <c r="A832" s="1" t="str">
        <f t="shared" si="12"/>
        <v>831-PETIT GATEAU COM SORVETE</v>
      </c>
      <c r="B832" s="1">
        <v>831</v>
      </c>
      <c r="C832" s="1" t="s">
        <v>994</v>
      </c>
      <c r="D832" s="1" t="s">
        <v>394</v>
      </c>
    </row>
    <row r="833" spans="1:4" x14ac:dyDescent="0.25">
      <c r="A833" s="1" t="str">
        <f t="shared" si="12"/>
        <v>832-GUARANA ANTARCTICA 1,5L</v>
      </c>
      <c r="B833" s="1">
        <v>832</v>
      </c>
      <c r="C833" s="1" t="s">
        <v>995</v>
      </c>
      <c r="D833" s="1" t="s">
        <v>85</v>
      </c>
    </row>
    <row r="834" spans="1:4" x14ac:dyDescent="0.25">
      <c r="A834" s="1" t="str">
        <f t="shared" si="12"/>
        <v>833-GUARANA ANTARCTICA ZERO 1L</v>
      </c>
      <c r="B834" s="1">
        <v>833</v>
      </c>
      <c r="C834" s="1" t="s">
        <v>996</v>
      </c>
      <c r="D834" s="1" t="s">
        <v>85</v>
      </c>
    </row>
    <row r="835" spans="1:4" x14ac:dyDescent="0.25">
      <c r="A835" s="1" t="str">
        <f t="shared" ref="A835:A898" si="13">B835&amp;"-"&amp;C835</f>
        <v>834-EXEC FRANGO COM CATUPIRY</v>
      </c>
      <c r="B835" s="1">
        <v>834</v>
      </c>
      <c r="C835" s="1" t="s">
        <v>997</v>
      </c>
      <c r="D835" s="1" t="s">
        <v>315</v>
      </c>
    </row>
    <row r="836" spans="1:4" x14ac:dyDescent="0.25">
      <c r="A836" s="1" t="str">
        <f t="shared" si="13"/>
        <v>835-PEDACO DE QUEIJO COALHO</v>
      </c>
      <c r="B836" s="1">
        <v>835</v>
      </c>
      <c r="C836" s="1" t="s">
        <v>998</v>
      </c>
      <c r="D836" s="1" t="s">
        <v>341</v>
      </c>
    </row>
    <row r="837" spans="1:4" x14ac:dyDescent="0.25">
      <c r="A837" s="1" t="str">
        <f t="shared" si="13"/>
        <v>836-GARRAFA DE CAFE</v>
      </c>
      <c r="B837" s="1">
        <v>836</v>
      </c>
      <c r="C837" s="1" t="s">
        <v>999</v>
      </c>
      <c r="D837" s="1" t="s">
        <v>533</v>
      </c>
    </row>
    <row r="838" spans="1:4" x14ac:dyDescent="0.25">
      <c r="A838" s="1" t="str">
        <f t="shared" si="13"/>
        <v>837-BANHO SEM CONSUMO</v>
      </c>
      <c r="B838" s="1">
        <v>837</v>
      </c>
      <c r="C838" s="1" t="s">
        <v>1000</v>
      </c>
      <c r="D838" s="1" t="s">
        <v>435</v>
      </c>
    </row>
    <row r="839" spans="1:4" x14ac:dyDescent="0.25">
      <c r="A839" s="1" t="str">
        <f t="shared" si="13"/>
        <v>838-PICOLE QUICK ZERO CHOCOLATE</v>
      </c>
      <c r="B839" s="1">
        <v>838</v>
      </c>
      <c r="C839" s="1" t="s">
        <v>1001</v>
      </c>
      <c r="D839" s="1" t="s">
        <v>410</v>
      </c>
    </row>
    <row r="840" spans="1:4" x14ac:dyDescent="0.25">
      <c r="A840" s="1" t="str">
        <f t="shared" si="13"/>
        <v>839-SORV QUICK COPAO</v>
      </c>
      <c r="B840" s="1">
        <v>839</v>
      </c>
      <c r="C840" s="1" t="s">
        <v>1002</v>
      </c>
      <c r="D840" s="1" t="s">
        <v>415</v>
      </c>
    </row>
    <row r="841" spans="1:4" x14ac:dyDescent="0.25">
      <c r="A841" s="1" t="str">
        <f t="shared" si="13"/>
        <v>840-SPRITE FRESH</v>
      </c>
      <c r="B841" s="1">
        <v>840</v>
      </c>
      <c r="C841" s="1" t="s">
        <v>1003</v>
      </c>
      <c r="D841" s="1" t="s">
        <v>85</v>
      </c>
    </row>
    <row r="842" spans="1:4" x14ac:dyDescent="0.25">
      <c r="A842" s="1" t="str">
        <f t="shared" si="13"/>
        <v>841-DOSE GIN ROCKS</v>
      </c>
      <c r="B842" s="1">
        <v>841</v>
      </c>
      <c r="C842" s="1" t="s">
        <v>1004</v>
      </c>
      <c r="D842" s="1" t="s">
        <v>177</v>
      </c>
    </row>
    <row r="843" spans="1:4" x14ac:dyDescent="0.25">
      <c r="A843" s="1" t="str">
        <f t="shared" si="13"/>
        <v>842-GUARANA ANTARCTICA ZERO 350 ML</v>
      </c>
      <c r="B843" s="1">
        <v>842</v>
      </c>
      <c r="C843" s="1" t="s">
        <v>1005</v>
      </c>
      <c r="D843" s="1" t="s">
        <v>85</v>
      </c>
    </row>
    <row r="844" spans="1:4" x14ac:dyDescent="0.25">
      <c r="A844" s="1" t="str">
        <f t="shared" si="13"/>
        <v>843-BUFFET 40</v>
      </c>
      <c r="B844" s="1">
        <v>843</v>
      </c>
      <c r="C844" s="1" t="s">
        <v>1006</v>
      </c>
      <c r="D844" s="1" t="s">
        <v>431</v>
      </c>
    </row>
    <row r="845" spans="1:4" x14ac:dyDescent="0.25">
      <c r="A845" s="1" t="str">
        <f t="shared" si="13"/>
        <v>844-BUFFET 41</v>
      </c>
      <c r="B845" s="1">
        <v>844</v>
      </c>
      <c r="C845" s="1" t="s">
        <v>1007</v>
      </c>
      <c r="D845" s="1" t="s">
        <v>431</v>
      </c>
    </row>
    <row r="846" spans="1:4" x14ac:dyDescent="0.25">
      <c r="A846" s="1" t="str">
        <f t="shared" si="13"/>
        <v>845-BUFFET 42</v>
      </c>
      <c r="B846" s="1">
        <v>845</v>
      </c>
      <c r="C846" s="1" t="s">
        <v>1008</v>
      </c>
      <c r="D846" s="1" t="s">
        <v>431</v>
      </c>
    </row>
    <row r="847" spans="1:4" x14ac:dyDescent="0.25">
      <c r="A847" s="1" t="str">
        <f t="shared" si="13"/>
        <v>846-BUFFET 43</v>
      </c>
      <c r="B847" s="1">
        <v>846</v>
      </c>
      <c r="C847" s="1" t="s">
        <v>1009</v>
      </c>
      <c r="D847" s="1" t="s">
        <v>431</v>
      </c>
    </row>
    <row r="848" spans="1:4" x14ac:dyDescent="0.25">
      <c r="A848" s="1" t="str">
        <f t="shared" si="13"/>
        <v>847-BUFFET 44</v>
      </c>
      <c r="B848" s="1">
        <v>847</v>
      </c>
      <c r="C848" s="1" t="s">
        <v>1010</v>
      </c>
      <c r="D848" s="1" t="s">
        <v>431</v>
      </c>
    </row>
    <row r="849" spans="1:4" x14ac:dyDescent="0.25">
      <c r="A849" s="1" t="str">
        <f t="shared" si="13"/>
        <v>848-BUFFET 45</v>
      </c>
      <c r="B849" s="1">
        <v>848</v>
      </c>
      <c r="C849" s="1" t="s">
        <v>1011</v>
      </c>
      <c r="D849" s="1" t="s">
        <v>431</v>
      </c>
    </row>
    <row r="850" spans="1:4" x14ac:dyDescent="0.25">
      <c r="A850" s="1" t="str">
        <f t="shared" si="13"/>
        <v>849-CO MOLHO BRANCO</v>
      </c>
      <c r="B850" s="1">
        <v>849</v>
      </c>
      <c r="C850" s="1" t="s">
        <v>1012</v>
      </c>
      <c r="D850" s="1" t="s">
        <v>761</v>
      </c>
    </row>
    <row r="851" spans="1:4" x14ac:dyDescent="0.25">
      <c r="A851" s="1" t="str">
        <f t="shared" si="13"/>
        <v>850-CO MOLHO VERMELHO</v>
      </c>
      <c r="B851" s="1">
        <v>850</v>
      </c>
      <c r="C851" s="1" t="s">
        <v>1013</v>
      </c>
      <c r="D851" s="1" t="s">
        <v>761</v>
      </c>
    </row>
    <row r="852" spans="1:4" x14ac:dyDescent="0.25">
      <c r="A852" s="1" t="str">
        <f t="shared" si="13"/>
        <v>851-CO SALPICAO</v>
      </c>
      <c r="B852" s="1">
        <v>851</v>
      </c>
      <c r="C852" s="1" t="s">
        <v>1014</v>
      </c>
      <c r="D852" s="1" t="s">
        <v>761</v>
      </c>
    </row>
    <row r="853" spans="1:4" x14ac:dyDescent="0.25">
      <c r="A853" s="1" t="str">
        <f t="shared" si="13"/>
        <v>852-CO SALADA VERDE</v>
      </c>
      <c r="B853" s="1">
        <v>852</v>
      </c>
      <c r="C853" s="1" t="s">
        <v>1015</v>
      </c>
      <c r="D853" s="1" t="s">
        <v>761</v>
      </c>
    </row>
    <row r="854" spans="1:4" x14ac:dyDescent="0.25">
      <c r="A854" s="1" t="str">
        <f t="shared" si="13"/>
        <v>853-SACO DE GELO</v>
      </c>
      <c r="B854" s="1">
        <v>853</v>
      </c>
      <c r="C854" s="1" t="s">
        <v>1016</v>
      </c>
      <c r="D854" s="1" t="s">
        <v>652</v>
      </c>
    </row>
    <row r="855" spans="1:4" x14ac:dyDescent="0.25">
      <c r="A855" s="1" t="str">
        <f t="shared" si="13"/>
        <v>854-TRIDENT MELANCIA</v>
      </c>
      <c r="B855" s="1">
        <v>854</v>
      </c>
      <c r="C855" s="1" t="s">
        <v>1017</v>
      </c>
      <c r="D855" s="1" t="s">
        <v>408</v>
      </c>
    </row>
    <row r="856" spans="1:4" x14ac:dyDescent="0.25">
      <c r="A856" s="1" t="str">
        <f t="shared" si="13"/>
        <v>855-CORONA LN 330ML</v>
      </c>
      <c r="B856" s="1">
        <v>855</v>
      </c>
      <c r="C856" s="1" t="s">
        <v>1018</v>
      </c>
      <c r="D856" s="1" t="s">
        <v>113</v>
      </c>
    </row>
    <row r="857" spans="1:4" x14ac:dyDescent="0.25">
      <c r="A857" s="1" t="str">
        <f t="shared" si="13"/>
        <v>856-DELRIO CAJU 250ML</v>
      </c>
      <c r="B857" s="1">
        <v>856</v>
      </c>
      <c r="C857" s="1" t="s">
        <v>1019</v>
      </c>
      <c r="D857" s="1" t="s">
        <v>85</v>
      </c>
    </row>
    <row r="858" spans="1:4" x14ac:dyDescent="0.25">
      <c r="A858" s="1" t="str">
        <f t="shared" si="13"/>
        <v>857-DELRIO CAJU</v>
      </c>
      <c r="B858" s="1">
        <v>857</v>
      </c>
      <c r="C858" s="1" t="s">
        <v>1020</v>
      </c>
      <c r="D858" s="1" t="s">
        <v>85</v>
      </c>
    </row>
    <row r="859" spans="1:4" x14ac:dyDescent="0.25">
      <c r="A859" s="1" t="str">
        <f t="shared" si="13"/>
        <v>858-DELRIO GUARANA 250ML</v>
      </c>
      <c r="B859" s="1">
        <v>858</v>
      </c>
      <c r="C859" s="1" t="s">
        <v>1021</v>
      </c>
      <c r="D859" s="1" t="s">
        <v>85</v>
      </c>
    </row>
    <row r="860" spans="1:4" x14ac:dyDescent="0.25">
      <c r="A860" s="1" t="str">
        <f t="shared" si="13"/>
        <v>859-DELRIO GUARANA 500ML</v>
      </c>
      <c r="B860" s="1">
        <v>859</v>
      </c>
      <c r="C860" s="1" t="s">
        <v>1022</v>
      </c>
      <c r="D860" s="1" t="s">
        <v>85</v>
      </c>
    </row>
    <row r="861" spans="1:4" x14ac:dyDescent="0.25">
      <c r="A861" s="1" t="str">
        <f t="shared" si="13"/>
        <v>860-PICOLE QUICK FRUT UVA</v>
      </c>
      <c r="B861" s="1">
        <v>860</v>
      </c>
      <c r="C861" s="1" t="s">
        <v>1023</v>
      </c>
      <c r="D861" s="1" t="s">
        <v>410</v>
      </c>
    </row>
    <row r="862" spans="1:4" x14ac:dyDescent="0.25">
      <c r="A862" s="1" t="str">
        <f t="shared" si="13"/>
        <v>861-GRAPETTE UVA ROXA 250ML</v>
      </c>
      <c r="B862" s="1">
        <v>861</v>
      </c>
      <c r="C862" s="1" t="s">
        <v>1024</v>
      </c>
      <c r="D862" s="1" t="s">
        <v>85</v>
      </c>
    </row>
    <row r="863" spans="1:4" x14ac:dyDescent="0.25">
      <c r="A863" s="1" t="str">
        <f t="shared" si="13"/>
        <v>862-bicarbonato</v>
      </c>
      <c r="B863" s="1">
        <v>862</v>
      </c>
      <c r="C863" s="1" t="s">
        <v>1025</v>
      </c>
      <c r="D863" s="1" t="s">
        <v>730</v>
      </c>
    </row>
    <row r="864" spans="1:4" x14ac:dyDescent="0.25">
      <c r="A864" s="1" t="str">
        <f t="shared" si="13"/>
        <v>863-CO EXEC BATATA FRITA</v>
      </c>
      <c r="B864" s="1">
        <v>863</v>
      </c>
      <c r="C864" s="1" t="s">
        <v>1026</v>
      </c>
      <c r="D864" s="1" t="s">
        <v>761</v>
      </c>
    </row>
    <row r="865" spans="1:4" x14ac:dyDescent="0.25">
      <c r="A865" s="1" t="str">
        <f t="shared" si="13"/>
        <v>864-CO EXEC SALPICAO</v>
      </c>
      <c r="B865" s="1">
        <v>864</v>
      </c>
      <c r="C865" s="1" t="s">
        <v>1027</v>
      </c>
      <c r="D865" s="1" t="s">
        <v>761</v>
      </c>
    </row>
    <row r="866" spans="1:4" x14ac:dyDescent="0.25">
      <c r="A866" s="1" t="str">
        <f t="shared" si="13"/>
        <v>865-CO PURE DE BATATA</v>
      </c>
      <c r="B866" s="1">
        <v>865</v>
      </c>
      <c r="C866" s="1" t="s">
        <v>1028</v>
      </c>
      <c r="D866" s="1" t="s">
        <v>761</v>
      </c>
    </row>
    <row r="867" spans="1:4" x14ac:dyDescent="0.25">
      <c r="A867" s="1" t="str">
        <f t="shared" si="13"/>
        <v>866-HALLS CEREJA</v>
      </c>
      <c r="B867" s="1">
        <v>866</v>
      </c>
      <c r="C867" s="1" t="s">
        <v>1029</v>
      </c>
      <c r="D867" s="1" t="s">
        <v>408</v>
      </c>
    </row>
    <row r="868" spans="1:4" x14ac:dyDescent="0.25">
      <c r="A868" s="1" t="str">
        <f t="shared" si="13"/>
        <v>867-BOMBOM OURO BRANCO</v>
      </c>
      <c r="B868" s="1">
        <v>867</v>
      </c>
      <c r="C868" s="1" t="s">
        <v>1030</v>
      </c>
      <c r="D868" s="1" t="s">
        <v>408</v>
      </c>
    </row>
    <row r="869" spans="1:4" x14ac:dyDescent="0.25">
      <c r="A869" s="1" t="str">
        <f t="shared" si="13"/>
        <v>868-STICK SONHO DE VALSA</v>
      </c>
      <c r="B869" s="1">
        <v>868</v>
      </c>
      <c r="C869" s="1" t="s">
        <v>1031</v>
      </c>
      <c r="D869" s="1" t="s">
        <v>408</v>
      </c>
    </row>
    <row r="870" spans="1:4" x14ac:dyDescent="0.25">
      <c r="A870" s="1" t="str">
        <f t="shared" si="13"/>
        <v>869-TRIDENT INTENSE</v>
      </c>
      <c r="B870" s="1">
        <v>869</v>
      </c>
      <c r="C870" s="1" t="s">
        <v>1032</v>
      </c>
      <c r="D870" s="1" t="s">
        <v>408</v>
      </c>
    </row>
    <row r="871" spans="1:4" x14ac:dyDescent="0.25">
      <c r="A871" s="1" t="str">
        <f t="shared" si="13"/>
        <v>870-TABLETE LACTA LAKA</v>
      </c>
      <c r="B871" s="1">
        <v>870</v>
      </c>
      <c r="C871" s="1" t="s">
        <v>1033</v>
      </c>
      <c r="D871" s="1" t="s">
        <v>408</v>
      </c>
    </row>
    <row r="872" spans="1:4" x14ac:dyDescent="0.25">
      <c r="A872" s="1" t="str">
        <f t="shared" si="13"/>
        <v>871-TABLETE LACTA AO LEITE</v>
      </c>
      <c r="B872" s="1">
        <v>871</v>
      </c>
      <c r="C872" s="1" t="s">
        <v>1034</v>
      </c>
      <c r="D872" s="1" t="s">
        <v>408</v>
      </c>
    </row>
    <row r="873" spans="1:4" x14ac:dyDescent="0.25">
      <c r="A873" s="1" t="str">
        <f t="shared" si="13"/>
        <v>872-COOKIES LACTA LAKA</v>
      </c>
      <c r="B873" s="1">
        <v>872</v>
      </c>
      <c r="C873" s="1" t="s">
        <v>1035</v>
      </c>
      <c r="D873" s="1" t="s">
        <v>408</v>
      </c>
    </row>
    <row r="874" spans="1:4" x14ac:dyDescent="0.25">
      <c r="A874" s="1" t="str">
        <f t="shared" si="13"/>
        <v>873-COOKIES LACTA AO LEITE</v>
      </c>
      <c r="B874" s="1">
        <v>873</v>
      </c>
      <c r="C874" s="1" t="s">
        <v>1036</v>
      </c>
      <c r="D874" s="1" t="s">
        <v>408</v>
      </c>
    </row>
    <row r="875" spans="1:4" x14ac:dyDescent="0.25">
      <c r="A875" s="1" t="str">
        <f t="shared" si="13"/>
        <v>874-BISCOITO OREO ORIGINAL</v>
      </c>
      <c r="B875" s="1">
        <v>874</v>
      </c>
      <c r="C875" s="1" t="s">
        <v>1037</v>
      </c>
      <c r="D875" s="1" t="s">
        <v>408</v>
      </c>
    </row>
    <row r="876" spans="1:4" x14ac:dyDescent="0.25">
      <c r="A876" s="1" t="str">
        <f t="shared" si="13"/>
        <v>875-BUBBALOO REC LIQ UVA</v>
      </c>
      <c r="B876" s="1">
        <v>875</v>
      </c>
      <c r="C876" s="1" t="s">
        <v>1038</v>
      </c>
      <c r="D876" s="1" t="s">
        <v>408</v>
      </c>
    </row>
    <row r="877" spans="1:4" x14ac:dyDescent="0.25">
      <c r="A877" s="1" t="str">
        <f t="shared" si="13"/>
        <v>876-BUBBALOO REC LIQ MORANGO</v>
      </c>
      <c r="B877" s="1">
        <v>876</v>
      </c>
      <c r="C877" s="1" t="s">
        <v>1039</v>
      </c>
      <c r="D877" s="1" t="s">
        <v>408</v>
      </c>
    </row>
    <row r="878" spans="1:4" x14ac:dyDescent="0.25">
      <c r="A878" s="1" t="str">
        <f t="shared" si="13"/>
        <v>877-BUBBALOO BALA MORANGO</v>
      </c>
      <c r="B878" s="1">
        <v>877</v>
      </c>
      <c r="C878" s="1" t="s">
        <v>1040</v>
      </c>
      <c r="D878" s="1" t="s">
        <v>408</v>
      </c>
    </row>
    <row r="879" spans="1:4" x14ac:dyDescent="0.25">
      <c r="A879" s="1" t="str">
        <f t="shared" si="13"/>
        <v>878-FLOR DOCE DE LEITE</v>
      </c>
      <c r="B879" s="1">
        <v>878</v>
      </c>
      <c r="C879" s="1" t="s">
        <v>1041</v>
      </c>
      <c r="D879" s="1" t="s">
        <v>408</v>
      </c>
    </row>
    <row r="880" spans="1:4" x14ac:dyDescent="0.25">
      <c r="A880" s="1" t="str">
        <f t="shared" si="13"/>
        <v>879-TRIDENT GF MENTA</v>
      </c>
      <c r="B880" s="1">
        <v>879</v>
      </c>
      <c r="C880" s="1" t="s">
        <v>1042</v>
      </c>
      <c r="D880" s="1" t="s">
        <v>408</v>
      </c>
    </row>
    <row r="881" spans="1:4" x14ac:dyDescent="0.25">
      <c r="A881" s="1" t="str">
        <f t="shared" si="13"/>
        <v>880-TRIDENT GF MORANGO LIME</v>
      </c>
      <c r="B881" s="1">
        <v>880</v>
      </c>
      <c r="C881" s="1" t="s">
        <v>1043</v>
      </c>
      <c r="D881" s="1" t="s">
        <v>408</v>
      </c>
    </row>
    <row r="882" spans="1:4" x14ac:dyDescent="0.25">
      <c r="A882" s="1" t="str">
        <f t="shared" si="13"/>
        <v>881-CABARE ICE LN 275ML</v>
      </c>
      <c r="B882" s="1">
        <v>881</v>
      </c>
      <c r="C882" s="1" t="s">
        <v>1044</v>
      </c>
      <c r="D882" s="1" t="s">
        <v>113</v>
      </c>
    </row>
    <row r="883" spans="1:4" x14ac:dyDescent="0.25">
      <c r="A883" s="1" t="str">
        <f t="shared" si="13"/>
        <v>882-EISENBAHN LN 330ML</v>
      </c>
      <c r="B883" s="1">
        <v>882</v>
      </c>
      <c r="C883" s="1" t="s">
        <v>1045</v>
      </c>
      <c r="D883" s="1" t="s">
        <v>113</v>
      </c>
    </row>
    <row r="884" spans="1:4" x14ac:dyDescent="0.25">
      <c r="A884" s="1" t="str">
        <f t="shared" si="13"/>
        <v>883-FANTA CAJU LT 350ML</v>
      </c>
      <c r="B884" s="1">
        <v>883</v>
      </c>
      <c r="C884" s="1" t="s">
        <v>1046</v>
      </c>
      <c r="D884" s="1" t="s">
        <v>85</v>
      </c>
    </row>
    <row r="885" spans="1:4" x14ac:dyDescent="0.25">
      <c r="A885" s="1" t="str">
        <f t="shared" si="13"/>
        <v>884-SPRITE ZERO LATA 350ML</v>
      </c>
      <c r="B885" s="1">
        <v>884</v>
      </c>
      <c r="C885" s="1" t="s">
        <v>1047</v>
      </c>
      <c r="D885" s="1" t="s">
        <v>85</v>
      </c>
    </row>
    <row r="886" spans="1:4" x14ac:dyDescent="0.25">
      <c r="A886" s="1" t="str">
        <f t="shared" si="13"/>
        <v>885-ENERG TNT JUICE MANGO LT 269ML</v>
      </c>
      <c r="B886" s="1">
        <v>885</v>
      </c>
      <c r="C886" s="1" t="s">
        <v>1048</v>
      </c>
      <c r="D886" s="1" t="s">
        <v>110</v>
      </c>
    </row>
    <row r="887" spans="1:4" x14ac:dyDescent="0.25">
      <c r="A887" s="1" t="str">
        <f t="shared" si="13"/>
        <v>886-SELF SERVICE SEM PESO</v>
      </c>
      <c r="B887" s="1">
        <v>886</v>
      </c>
      <c r="C887" s="1" t="s">
        <v>1049</v>
      </c>
      <c r="D887" s="1" t="s">
        <v>429</v>
      </c>
    </row>
    <row r="888" spans="1:4" x14ac:dyDescent="0.25">
      <c r="A888" s="1" t="str">
        <f t="shared" si="13"/>
        <v>887-SELF SERVICE ESPECIAL</v>
      </c>
      <c r="B888" s="1">
        <v>887</v>
      </c>
      <c r="C888" s="1" t="s">
        <v>1050</v>
      </c>
      <c r="D888" s="1" t="s">
        <v>429</v>
      </c>
    </row>
    <row r="889" spans="1:4" x14ac:dyDescent="0.25">
      <c r="A889" s="1" t="str">
        <f t="shared" si="13"/>
        <v>888-EXEC PICANHA</v>
      </c>
      <c r="B889" s="1">
        <v>888</v>
      </c>
      <c r="C889" s="1" t="s">
        <v>1051</v>
      </c>
      <c r="D889" s="1" t="s">
        <v>315</v>
      </c>
    </row>
    <row r="890" spans="1:4" x14ac:dyDescent="0.25">
      <c r="A890" s="1" t="str">
        <f t="shared" si="13"/>
        <v>889-COSTELA SUINA APERITIVO</v>
      </c>
      <c r="B890" s="1">
        <v>889</v>
      </c>
      <c r="C890" s="1" t="s">
        <v>1052</v>
      </c>
      <c r="D890" s="1" t="s">
        <v>261</v>
      </c>
    </row>
    <row r="891" spans="1:4" x14ac:dyDescent="0.25">
      <c r="A891" s="1" t="str">
        <f t="shared" si="13"/>
        <v>890-CO EXEC SALADA VERDE</v>
      </c>
      <c r="B891" s="1">
        <v>890</v>
      </c>
      <c r="C891" s="1" t="s">
        <v>1053</v>
      </c>
      <c r="D891" s="1" t="s">
        <v>761</v>
      </c>
    </row>
    <row r="892" spans="1:4" x14ac:dyDescent="0.25">
      <c r="A892" s="1" t="str">
        <f t="shared" si="13"/>
        <v>891-CO EXEC PURE DE BATATA</v>
      </c>
      <c r="B892" s="1">
        <v>891</v>
      </c>
      <c r="C892" s="1" t="s">
        <v>1054</v>
      </c>
      <c r="D892" s="1" t="s">
        <v>761</v>
      </c>
    </row>
    <row r="893" spans="1:4" x14ac:dyDescent="0.25">
      <c r="A893" s="1" t="str">
        <f t="shared" si="13"/>
        <v>892-DOSE CACHACA AVIADOR PRATA</v>
      </c>
      <c r="B893" s="1">
        <v>892</v>
      </c>
      <c r="C893" s="1" t="s">
        <v>1055</v>
      </c>
      <c r="D893" s="1" t="s">
        <v>157</v>
      </c>
    </row>
    <row r="894" spans="1:4" x14ac:dyDescent="0.25">
      <c r="A894" s="1" t="str">
        <f t="shared" si="13"/>
        <v>893-DOSE CACHACA AVIADOR PREMIUM</v>
      </c>
      <c r="B894" s="1">
        <v>893</v>
      </c>
      <c r="C894" s="1" t="s">
        <v>1056</v>
      </c>
      <c r="D894" s="1" t="s">
        <v>157</v>
      </c>
    </row>
    <row r="895" spans="1:4" x14ac:dyDescent="0.25">
      <c r="A895" s="1" t="str">
        <f t="shared" si="13"/>
        <v>894-DOSE GIN SEAGERS</v>
      </c>
      <c r="B895" s="1">
        <v>894</v>
      </c>
      <c r="C895" s="1" t="s">
        <v>1057</v>
      </c>
      <c r="D895" s="1" t="s">
        <v>177</v>
      </c>
    </row>
    <row r="896" spans="1:4" x14ac:dyDescent="0.25">
      <c r="A896" s="1" t="str">
        <f t="shared" si="13"/>
        <v>895-VINHO ARGENTO CABERNET GF</v>
      </c>
      <c r="B896" s="1">
        <v>895</v>
      </c>
      <c r="C896" s="1" t="s">
        <v>1058</v>
      </c>
      <c r="D896" s="1" t="s">
        <v>243</v>
      </c>
    </row>
    <row r="897" spans="1:4" x14ac:dyDescent="0.25">
      <c r="A897" s="1" t="str">
        <f t="shared" si="13"/>
        <v>896-VINHO ARGENTO MALBEC GF</v>
      </c>
      <c r="B897" s="1">
        <v>896</v>
      </c>
      <c r="C897" s="1" t="s">
        <v>1059</v>
      </c>
      <c r="D897" s="1" t="s">
        <v>243</v>
      </c>
    </row>
    <row r="898" spans="1:4" x14ac:dyDescent="0.25">
      <c r="A898" s="1" t="str">
        <f t="shared" si="13"/>
        <v>897-DOSE TEQUILA JOSE CUERVO ESPEC</v>
      </c>
      <c r="B898" s="1">
        <v>897</v>
      </c>
      <c r="C898" s="1" t="s">
        <v>1060</v>
      </c>
      <c r="D898" s="1" t="s">
        <v>197</v>
      </c>
    </row>
    <row r="899" spans="1:4" x14ac:dyDescent="0.25">
      <c r="A899" s="1" t="str">
        <f t="shared" ref="A899:A962" si="14">B899&amp;"-"&amp;C899</f>
        <v>898-STELLA ARTOIS LN 330ML</v>
      </c>
      <c r="B899" s="1">
        <v>898</v>
      </c>
      <c r="C899" s="1" t="s">
        <v>1061</v>
      </c>
      <c r="D899" s="1" t="s">
        <v>113</v>
      </c>
    </row>
    <row r="900" spans="1:4" x14ac:dyDescent="0.25">
      <c r="A900" s="1" t="str">
        <f t="shared" si="14"/>
        <v>899-SPATEN LN 330ML</v>
      </c>
      <c r="B900" s="1">
        <v>899</v>
      </c>
      <c r="C900" s="1" t="s">
        <v>1062</v>
      </c>
      <c r="D900" s="1" t="s">
        <v>113</v>
      </c>
    </row>
    <row r="901" spans="1:4" x14ac:dyDescent="0.25">
      <c r="A901" s="1" t="str">
        <f t="shared" si="14"/>
        <v>900-TRIDENT MORANGO</v>
      </c>
      <c r="B901" s="1">
        <v>900</v>
      </c>
      <c r="C901" s="1" t="s">
        <v>1063</v>
      </c>
      <c r="D901" s="1" t="s">
        <v>408</v>
      </c>
    </row>
    <row r="902" spans="1:4" x14ac:dyDescent="0.25">
      <c r="A902" s="1" t="str">
        <f t="shared" si="14"/>
        <v>901-BOMBOM SONHO DE VALSA</v>
      </c>
      <c r="B902" s="1">
        <v>901</v>
      </c>
      <c r="C902" s="1" t="s">
        <v>1064</v>
      </c>
      <c r="D902" s="1" t="s">
        <v>408</v>
      </c>
    </row>
    <row r="903" spans="1:4" x14ac:dyDescent="0.25">
      <c r="A903" s="1" t="str">
        <f t="shared" si="14"/>
        <v>902-TABLETE LACTA DIAMENTE NEGRO</v>
      </c>
      <c r="B903" s="1">
        <v>902</v>
      </c>
      <c r="C903" s="1" t="s">
        <v>1065</v>
      </c>
      <c r="D903" s="1" t="s">
        <v>408</v>
      </c>
    </row>
    <row r="904" spans="1:4" x14ac:dyDescent="0.25">
      <c r="A904" s="1" t="str">
        <f t="shared" si="14"/>
        <v>903-STICK OURO BRANCO</v>
      </c>
      <c r="B904" s="1">
        <v>903</v>
      </c>
      <c r="C904" s="1" t="s">
        <v>1066</v>
      </c>
      <c r="D904" s="1" t="s">
        <v>408</v>
      </c>
    </row>
    <row r="905" spans="1:4" x14ac:dyDescent="0.25">
      <c r="A905" s="1" t="str">
        <f t="shared" si="14"/>
        <v>904-HALLS MELANCIA</v>
      </c>
      <c r="B905" s="1">
        <v>904</v>
      </c>
      <c r="C905" s="1" t="s">
        <v>1067</v>
      </c>
      <c r="D905" s="1" t="s">
        <v>408</v>
      </c>
    </row>
    <row r="906" spans="1:4" x14ac:dyDescent="0.25">
      <c r="A906" s="1" t="str">
        <f t="shared" si="14"/>
        <v>905-HALLS MORANGO</v>
      </c>
      <c r="B906" s="1">
        <v>905</v>
      </c>
      <c r="C906" s="1" t="s">
        <v>1068</v>
      </c>
      <c r="D906" s="1" t="s">
        <v>408</v>
      </c>
    </row>
    <row r="907" spans="1:4" x14ac:dyDescent="0.25">
      <c r="A907" s="1" t="str">
        <f t="shared" si="14"/>
        <v>906-RUM MONTILA CARTA BRANCA GF</v>
      </c>
      <c r="B907" s="1">
        <v>906</v>
      </c>
      <c r="C907" s="1" t="s">
        <v>1069</v>
      </c>
      <c r="D907" s="1" t="s">
        <v>187</v>
      </c>
    </row>
    <row r="908" spans="1:4" x14ac:dyDescent="0.25">
      <c r="A908" s="1" t="str">
        <f t="shared" si="14"/>
        <v>907-DOSE RUM MONTILA CARTA BRANCA</v>
      </c>
      <c r="B908" s="1">
        <v>907</v>
      </c>
      <c r="C908" s="1" t="s">
        <v>1070</v>
      </c>
      <c r="D908" s="1" t="s">
        <v>189</v>
      </c>
    </row>
    <row r="909" spans="1:4" x14ac:dyDescent="0.25">
      <c r="A909" s="1" t="str">
        <f t="shared" si="14"/>
        <v>908-PICANHA IMPORTADA TRINCHADA</v>
      </c>
      <c r="B909" s="1">
        <v>908</v>
      </c>
      <c r="C909" s="1" t="s">
        <v>1071</v>
      </c>
      <c r="D909" s="1" t="s">
        <v>261</v>
      </c>
    </row>
    <row r="910" spans="1:4" x14ac:dyDescent="0.25">
      <c r="A910" s="1" t="str">
        <f t="shared" si="14"/>
        <v>909-BIS XTRA ORIGINAL</v>
      </c>
      <c r="B910" s="1">
        <v>909</v>
      </c>
      <c r="C910" s="1" t="s">
        <v>1072</v>
      </c>
      <c r="D910" s="1" t="s">
        <v>408</v>
      </c>
    </row>
    <row r="911" spans="1:4" x14ac:dyDescent="0.25">
      <c r="A911" s="1" t="str">
        <f t="shared" si="14"/>
        <v>910-CO EXEC MOLHO BRANCO</v>
      </c>
      <c r="B911" s="1">
        <v>910</v>
      </c>
      <c r="C911" s="1" t="s">
        <v>1073</v>
      </c>
      <c r="D911" s="1" t="s">
        <v>761</v>
      </c>
    </row>
    <row r="912" spans="1:4" x14ac:dyDescent="0.25">
      <c r="A912" s="1" t="str">
        <f t="shared" si="14"/>
        <v>911-CO EXEC MOLHO VERMELHO</v>
      </c>
      <c r="B912" s="1">
        <v>911</v>
      </c>
      <c r="C912" s="1" t="s">
        <v>1074</v>
      </c>
      <c r="D912" s="1" t="s">
        <v>761</v>
      </c>
    </row>
    <row r="913" spans="1:4" x14ac:dyDescent="0.25">
      <c r="A913" s="1" t="str">
        <f t="shared" si="14"/>
        <v>912-CO MEIO MOLHO BRANCO</v>
      </c>
      <c r="B913" s="1">
        <v>912</v>
      </c>
      <c r="C913" s="1" t="s">
        <v>1075</v>
      </c>
      <c r="D913" s="1" t="s">
        <v>761</v>
      </c>
    </row>
    <row r="914" spans="1:4" x14ac:dyDescent="0.25">
      <c r="A914" s="1" t="str">
        <f t="shared" si="14"/>
        <v>913-CO MEIO MOLHO VERMELHO</v>
      </c>
      <c r="B914" s="1">
        <v>913</v>
      </c>
      <c r="C914" s="1" t="s">
        <v>1076</v>
      </c>
      <c r="D914" s="1" t="s">
        <v>761</v>
      </c>
    </row>
    <row r="915" spans="1:4" x14ac:dyDescent="0.25">
      <c r="A915" s="1" t="str">
        <f t="shared" si="14"/>
        <v>914-BALA MENTOS TUTTI FRUTTI</v>
      </c>
      <c r="B915" s="1">
        <v>914</v>
      </c>
      <c r="C915" s="1" t="s">
        <v>1077</v>
      </c>
      <c r="D915" s="1" t="s">
        <v>408</v>
      </c>
    </row>
    <row r="916" spans="1:4" x14ac:dyDescent="0.25">
      <c r="A916" s="1" t="str">
        <f t="shared" si="14"/>
        <v>915-ponta de agulha bovina</v>
      </c>
      <c r="B916" s="1">
        <v>915</v>
      </c>
      <c r="C916" s="1" t="s">
        <v>1078</v>
      </c>
      <c r="D916" s="1" t="s">
        <v>548</v>
      </c>
    </row>
    <row r="917" spans="1:4" x14ac:dyDescent="0.25">
      <c r="A917" s="1" t="str">
        <f t="shared" si="14"/>
        <v>916-agua para consumo</v>
      </c>
      <c r="B917" s="1">
        <v>916</v>
      </c>
      <c r="C917" s="1" t="s">
        <v>1079</v>
      </c>
      <c r="D917" s="1" t="s">
        <v>1080</v>
      </c>
    </row>
    <row r="918" spans="1:4" x14ac:dyDescent="0.25">
      <c r="A918" s="1" t="str">
        <f t="shared" si="14"/>
        <v>917-GRAPETTE UVA VERDE 250ML</v>
      </c>
      <c r="B918" s="1">
        <v>917</v>
      </c>
      <c r="C918" s="1" t="s">
        <v>1081</v>
      </c>
      <c r="D918" s="1" t="s">
        <v>85</v>
      </c>
    </row>
    <row r="919" spans="1:4" x14ac:dyDescent="0.25">
      <c r="A919" s="1" t="str">
        <f t="shared" si="14"/>
        <v>918-GRAPETTE UVA 250ML</v>
      </c>
      <c r="B919" s="1">
        <v>918</v>
      </c>
      <c r="C919" s="1" t="s">
        <v>1082</v>
      </c>
      <c r="D919" s="1" t="s">
        <v>85</v>
      </c>
    </row>
    <row r="920" spans="1:4" x14ac:dyDescent="0.25">
      <c r="A920" s="1" t="str">
        <f t="shared" si="14"/>
        <v>919-DELRIO ABACAXI 250ML</v>
      </c>
      <c r="B920" s="1">
        <v>919</v>
      </c>
      <c r="C920" s="1" t="s">
        <v>1083</v>
      </c>
      <c r="D920" s="1" t="s">
        <v>85</v>
      </c>
    </row>
    <row r="921" spans="1:4" x14ac:dyDescent="0.25">
      <c r="A921" s="1" t="str">
        <f t="shared" si="14"/>
        <v>920-pilombeta mp</v>
      </c>
      <c r="B921" s="1">
        <v>920</v>
      </c>
      <c r="C921" s="1" t="s">
        <v>1084</v>
      </c>
      <c r="D921" s="1" t="s">
        <v>601</v>
      </c>
    </row>
    <row r="922" spans="1:4" x14ac:dyDescent="0.25">
      <c r="A922" s="1" t="str">
        <f t="shared" si="14"/>
        <v>921-NUGGET DE CAMARAO</v>
      </c>
      <c r="B922" s="1">
        <v>921</v>
      </c>
      <c r="C922" s="1" t="s">
        <v>1085</v>
      </c>
      <c r="D922" s="1" t="s">
        <v>261</v>
      </c>
    </row>
    <row r="923" spans="1:4" x14ac:dyDescent="0.25">
      <c r="A923" s="1" t="str">
        <f t="shared" si="14"/>
        <v>922-DEL VALLE FRUT UVA 450ML</v>
      </c>
      <c r="B923" s="1">
        <v>922</v>
      </c>
      <c r="C923" s="1" t="s">
        <v>1086</v>
      </c>
      <c r="D923" s="1" t="s">
        <v>1087</v>
      </c>
    </row>
    <row r="924" spans="1:4" x14ac:dyDescent="0.25">
      <c r="A924" s="1" t="str">
        <f t="shared" si="14"/>
        <v>923-DEL VALLE FRUT LARANJA 450ML</v>
      </c>
      <c r="B924" s="1">
        <v>923</v>
      </c>
      <c r="C924" s="1" t="s">
        <v>1088</v>
      </c>
      <c r="D924" s="1" t="s">
        <v>1087</v>
      </c>
    </row>
    <row r="925" spans="1:4" x14ac:dyDescent="0.25">
      <c r="A925" s="1" t="str">
        <f t="shared" si="14"/>
        <v>924-COCA-COLA 2,5L</v>
      </c>
      <c r="B925" s="1">
        <v>924</v>
      </c>
      <c r="C925" s="1" t="s">
        <v>1089</v>
      </c>
      <c r="D925" s="1" t="s">
        <v>85</v>
      </c>
    </row>
    <row r="926" spans="1:4" x14ac:dyDescent="0.25">
      <c r="A926" s="1" t="str">
        <f t="shared" si="14"/>
        <v>925-SKOL LATA 350ML</v>
      </c>
      <c r="B926" s="1">
        <v>925</v>
      </c>
      <c r="C926" s="1" t="s">
        <v>1090</v>
      </c>
      <c r="D926" s="1" t="s">
        <v>113</v>
      </c>
    </row>
    <row r="927" spans="1:4" x14ac:dyDescent="0.25">
      <c r="A927" s="1" t="str">
        <f t="shared" si="14"/>
        <v>926-H2OH LIMAO 500 ML</v>
      </c>
      <c r="B927" s="1">
        <v>926</v>
      </c>
      <c r="C927" s="1" t="s">
        <v>1091</v>
      </c>
      <c r="D927" s="1" t="s">
        <v>85</v>
      </c>
    </row>
    <row r="928" spans="1:4" x14ac:dyDescent="0.25">
      <c r="A928" s="1" t="str">
        <f t="shared" si="14"/>
        <v>927-lanche de frango mp</v>
      </c>
      <c r="B928" s="1">
        <v>927</v>
      </c>
      <c r="C928" s="1" t="s">
        <v>1092</v>
      </c>
      <c r="D928" s="1" t="s">
        <v>562</v>
      </c>
    </row>
    <row r="929" spans="1:4" x14ac:dyDescent="0.25">
      <c r="A929" s="1" t="str">
        <f t="shared" si="14"/>
        <v>928-SORV PARDAL CREME 5000ML</v>
      </c>
      <c r="B929" s="1">
        <v>928</v>
      </c>
      <c r="C929" s="1" t="s">
        <v>1093</v>
      </c>
      <c r="D929" s="1" t="s">
        <v>415</v>
      </c>
    </row>
    <row r="930" spans="1:4" x14ac:dyDescent="0.25">
      <c r="A930" s="1" t="str">
        <f t="shared" si="14"/>
        <v>929-EISENBAHN LN 355ML</v>
      </c>
      <c r="B930" s="1">
        <v>929</v>
      </c>
      <c r="C930" s="1" t="s">
        <v>1094</v>
      </c>
      <c r="D930" s="1" t="s">
        <v>113</v>
      </c>
    </row>
    <row r="931" spans="1:4" x14ac:dyDescent="0.25">
      <c r="A931" s="1" t="str">
        <f t="shared" si="14"/>
        <v>930-SOL PREMIUM LN 330ML</v>
      </c>
      <c r="B931" s="1">
        <v>930</v>
      </c>
      <c r="C931" s="1" t="s">
        <v>1095</v>
      </c>
      <c r="D931" s="1" t="s">
        <v>113</v>
      </c>
    </row>
    <row r="932" spans="1:4" x14ac:dyDescent="0.25">
      <c r="A932" s="1" t="str">
        <f t="shared" si="14"/>
        <v>931-COCA-COLA KS ZERO 290ML</v>
      </c>
      <c r="B932" s="1">
        <v>931</v>
      </c>
      <c r="C932" s="1" t="s">
        <v>1096</v>
      </c>
      <c r="D932" s="1" t="s">
        <v>85</v>
      </c>
    </row>
    <row r="933" spans="1:4" x14ac:dyDescent="0.25">
      <c r="A933" s="1" t="str">
        <f t="shared" si="14"/>
        <v>932-DEL VALLE FRUT CIT 450ML</v>
      </c>
      <c r="B933" s="1">
        <v>932</v>
      </c>
      <c r="C933" s="1" t="s">
        <v>1097</v>
      </c>
      <c r="D933" s="1" t="s">
        <v>1087</v>
      </c>
    </row>
    <row r="934" spans="1:4" x14ac:dyDescent="0.25">
      <c r="A934" s="1" t="str">
        <f t="shared" si="14"/>
        <v>933-SORV QUICK ACAI GRANOLA</v>
      </c>
      <c r="B934" s="1">
        <v>933</v>
      </c>
      <c r="C934" s="1" t="s">
        <v>1098</v>
      </c>
      <c r="D934" s="1" t="s">
        <v>415</v>
      </c>
    </row>
    <row r="935" spans="1:4" x14ac:dyDescent="0.25">
      <c r="A935" s="1" t="str">
        <f t="shared" si="14"/>
        <v>934-PICOLE QUICK ACAI</v>
      </c>
      <c r="B935" s="1">
        <v>934</v>
      </c>
      <c r="C935" s="1" t="s">
        <v>1099</v>
      </c>
      <c r="D935" s="1" t="s">
        <v>410</v>
      </c>
    </row>
    <row r="936" spans="1:4" x14ac:dyDescent="0.25">
      <c r="A936" s="1" t="str">
        <f t="shared" si="14"/>
        <v>935-cebolinha mp</v>
      </c>
      <c r="B936" s="1">
        <v>935</v>
      </c>
      <c r="C936" s="1" t="s">
        <v>1100</v>
      </c>
      <c r="D936" s="1" t="s">
        <v>575</v>
      </c>
    </row>
    <row r="937" spans="1:4" x14ac:dyDescent="0.25">
      <c r="A937" s="1" t="str">
        <f t="shared" si="14"/>
        <v>936-TRIDENT CEREJA</v>
      </c>
      <c r="B937" s="1">
        <v>936</v>
      </c>
      <c r="C937" s="1" t="s">
        <v>1101</v>
      </c>
      <c r="D937" s="1" t="s">
        <v>408</v>
      </c>
    </row>
    <row r="938" spans="1:4" x14ac:dyDescent="0.25">
      <c r="A938" s="1" t="str">
        <f t="shared" si="14"/>
        <v>937-ENERG MONSTER ZERO LATA 473ML</v>
      </c>
      <c r="B938" s="1">
        <v>937</v>
      </c>
      <c r="C938" s="1" t="s">
        <v>1102</v>
      </c>
      <c r="D938" s="1" t="s">
        <v>110</v>
      </c>
    </row>
    <row r="939" spans="1:4" x14ac:dyDescent="0.25">
      <c r="A939" s="1" t="str">
        <f t="shared" si="14"/>
        <v>938-gin gordon mp</v>
      </c>
      <c r="B939" s="1">
        <v>938</v>
      </c>
      <c r="C939" s="1" t="s">
        <v>1103</v>
      </c>
      <c r="D939" s="1" t="s">
        <v>792</v>
      </c>
    </row>
    <row r="940" spans="1:4" x14ac:dyDescent="0.25">
      <c r="A940" s="1" t="str">
        <f t="shared" si="14"/>
        <v>939-MEIA HOSPEDAGEM INDIVIDUAL T</v>
      </c>
      <c r="B940" s="1">
        <v>939</v>
      </c>
      <c r="C940" s="1" t="s">
        <v>1104</v>
      </c>
      <c r="D940" s="1" t="s">
        <v>437</v>
      </c>
    </row>
    <row r="941" spans="1:4" x14ac:dyDescent="0.25">
      <c r="A941" s="1" t="str">
        <f t="shared" si="14"/>
        <v>940-MEIA HOSPEDAGEM INDIVIDUAL 1A</v>
      </c>
      <c r="B941" s="1">
        <v>940</v>
      </c>
      <c r="C941" s="1" t="s">
        <v>1105</v>
      </c>
      <c r="D941" s="1" t="s">
        <v>437</v>
      </c>
    </row>
    <row r="942" spans="1:4" x14ac:dyDescent="0.25">
      <c r="A942" s="1" t="str">
        <f t="shared" si="14"/>
        <v>941-HOSPEDAGEM DUPLA TERREO</v>
      </c>
      <c r="B942" s="1">
        <v>941</v>
      </c>
      <c r="C942" s="1" t="s">
        <v>1106</v>
      </c>
      <c r="D942" s="1" t="s">
        <v>437</v>
      </c>
    </row>
    <row r="943" spans="1:4" x14ac:dyDescent="0.25">
      <c r="A943" s="1" t="str">
        <f t="shared" si="14"/>
        <v>942-HOSPEDAGEM DUPLA 1A</v>
      </c>
      <c r="B943" s="1">
        <v>942</v>
      </c>
      <c r="C943" s="1" t="s">
        <v>1107</v>
      </c>
      <c r="D943" s="1" t="s">
        <v>437</v>
      </c>
    </row>
    <row r="944" spans="1:4" x14ac:dyDescent="0.25">
      <c r="A944" s="1" t="str">
        <f t="shared" si="14"/>
        <v>943-MEIA HOSPEDAGEM ADIC CRIANCAS</v>
      </c>
      <c r="B944" s="1">
        <v>943</v>
      </c>
      <c r="C944" s="1" t="s">
        <v>1108</v>
      </c>
      <c r="D944" s="1" t="s">
        <v>437</v>
      </c>
    </row>
    <row r="945" spans="1:4" x14ac:dyDescent="0.25">
      <c r="A945" s="1" t="str">
        <f t="shared" si="14"/>
        <v>944-MEIA HOSPEDAGEM ADIC ADOL ADUL</v>
      </c>
      <c r="B945" s="1">
        <v>944</v>
      </c>
      <c r="C945" s="1" t="s">
        <v>1109</v>
      </c>
      <c r="D945" s="1" t="s">
        <v>437</v>
      </c>
    </row>
    <row r="946" spans="1:4" x14ac:dyDescent="0.25">
      <c r="A946" s="1" t="str">
        <f t="shared" si="14"/>
        <v>945-MEIA HOSPEDAGEM E CAFE DA MANH</v>
      </c>
      <c r="B946" s="1">
        <v>945</v>
      </c>
      <c r="C946" s="1" t="s">
        <v>1110</v>
      </c>
      <c r="D946" s="1" t="s">
        <v>437</v>
      </c>
    </row>
    <row r="947" spans="1:4" x14ac:dyDescent="0.25">
      <c r="A947" s="1" t="str">
        <f t="shared" si="14"/>
        <v>946-MEIA HOSPEDAGEM</v>
      </c>
      <c r="B947" s="1">
        <v>946</v>
      </c>
      <c r="C947" s="1" t="s">
        <v>1111</v>
      </c>
      <c r="D947" s="1" t="s">
        <v>437</v>
      </c>
    </row>
    <row r="948" spans="1:4" x14ac:dyDescent="0.25">
      <c r="A948" s="1" t="str">
        <f t="shared" si="14"/>
        <v>947-ALUGUEL PARA EVENTOS</v>
      </c>
      <c r="B948" s="1">
        <v>947</v>
      </c>
      <c r="C948" s="1" t="s">
        <v>1112</v>
      </c>
      <c r="D948" s="1" t="s">
        <v>1113</v>
      </c>
    </row>
    <row r="949" spans="1:4" x14ac:dyDescent="0.25">
      <c r="A949" s="1" t="str">
        <f t="shared" si="14"/>
        <v>948-ADICIONAL ALUGUEL PARA EVENTOS</v>
      </c>
      <c r="B949" s="1">
        <v>948</v>
      </c>
      <c r="C949" s="1" t="s">
        <v>1114</v>
      </c>
      <c r="D949" s="1" t="s">
        <v>1113</v>
      </c>
    </row>
    <row r="950" spans="1:4" x14ac:dyDescent="0.25">
      <c r="A950" s="1" t="str">
        <f t="shared" si="14"/>
        <v>949-PICOLE QUICK FRUT GROSELHA</v>
      </c>
      <c r="B950" s="1">
        <v>949</v>
      </c>
      <c r="C950" s="1" t="s">
        <v>1115</v>
      </c>
      <c r="D950" s="1" t="s">
        <v>410</v>
      </c>
    </row>
    <row r="951" spans="1:4" x14ac:dyDescent="0.25">
      <c r="A951" s="1" t="str">
        <f t="shared" si="14"/>
        <v>950-PICOLE QUICK FRUT LIMAO</v>
      </c>
      <c r="B951" s="1">
        <v>950</v>
      </c>
      <c r="C951" s="1" t="s">
        <v>1116</v>
      </c>
      <c r="D951" s="1" t="s">
        <v>410</v>
      </c>
    </row>
    <row r="952" spans="1:4" x14ac:dyDescent="0.25">
      <c r="A952" s="1" t="str">
        <f t="shared" si="14"/>
        <v>951-COUVERT ARTISTICO</v>
      </c>
      <c r="B952" s="1">
        <v>951</v>
      </c>
      <c r="C952" s="1" t="s">
        <v>1117</v>
      </c>
      <c r="D952" s="1" t="s">
        <v>1113</v>
      </c>
    </row>
    <row r="953" spans="1:4" x14ac:dyDescent="0.25">
      <c r="A953" s="1" t="str">
        <f t="shared" si="14"/>
        <v>952-MEIA HOSPEDAGEM DUPLA TERREO</v>
      </c>
      <c r="B953" s="1">
        <v>952</v>
      </c>
      <c r="C953" s="1" t="s">
        <v>1118</v>
      </c>
      <c r="D953" s="1" t="s">
        <v>437</v>
      </c>
    </row>
    <row r="954" spans="1:4" x14ac:dyDescent="0.25">
      <c r="A954" s="1" t="str">
        <f t="shared" si="14"/>
        <v>953-MEIA HOSPEDAGEM DUPLA 1A</v>
      </c>
      <c r="B954" s="1">
        <v>953</v>
      </c>
      <c r="C954" s="1" t="s">
        <v>1119</v>
      </c>
      <c r="D954" s="1" t="s">
        <v>437</v>
      </c>
    </row>
    <row r="955" spans="1:4" x14ac:dyDescent="0.25">
      <c r="A955" s="1" t="str">
        <f t="shared" si="14"/>
        <v>954-SKOL 300ML</v>
      </c>
      <c r="B955" s="1">
        <v>954</v>
      </c>
      <c r="C955" s="1" t="s">
        <v>1120</v>
      </c>
      <c r="D955" s="1" t="s">
        <v>113</v>
      </c>
    </row>
    <row r="956" spans="1:4" x14ac:dyDescent="0.25">
      <c r="A956" s="1" t="str">
        <f t="shared" si="14"/>
        <v>955-BIS XTRA AO LEITE</v>
      </c>
      <c r="B956" s="1">
        <v>955</v>
      </c>
      <c r="C956" s="1" t="s">
        <v>1121</v>
      </c>
      <c r="D956" s="1" t="s">
        <v>408</v>
      </c>
    </row>
    <row r="957" spans="1:4" x14ac:dyDescent="0.25">
      <c r="A957" s="1" t="str">
        <f t="shared" si="14"/>
        <v>956-BIS XTRA OREO</v>
      </c>
      <c r="B957" s="1">
        <v>956</v>
      </c>
      <c r="C957" s="1" t="s">
        <v>1122</v>
      </c>
      <c r="D957" s="1" t="s">
        <v>408</v>
      </c>
    </row>
    <row r="958" spans="1:4" x14ac:dyDescent="0.25">
      <c r="A958" s="1" t="str">
        <f t="shared" si="14"/>
        <v>957-BIS OREO</v>
      </c>
      <c r="B958" s="1">
        <v>957</v>
      </c>
      <c r="C958" s="1" t="s">
        <v>1123</v>
      </c>
      <c r="D958" s="1" t="s">
        <v>408</v>
      </c>
    </row>
    <row r="959" spans="1:4" x14ac:dyDescent="0.25">
      <c r="A959" s="1" t="str">
        <f t="shared" si="14"/>
        <v>958-BIS LEITE</v>
      </c>
      <c r="B959" s="1">
        <v>958</v>
      </c>
      <c r="C959" s="1" t="s">
        <v>1124</v>
      </c>
      <c r="D959" s="1" t="s">
        <v>408</v>
      </c>
    </row>
    <row r="960" spans="1:4" x14ac:dyDescent="0.25">
      <c r="A960" s="1" t="str">
        <f t="shared" si="14"/>
        <v>959-BIS LAKA</v>
      </c>
      <c r="B960" s="1">
        <v>959</v>
      </c>
      <c r="C960" s="1" t="s">
        <v>1125</v>
      </c>
      <c r="D960" s="1" t="s">
        <v>408</v>
      </c>
    </row>
    <row r="961" spans="1:4" x14ac:dyDescent="0.25">
      <c r="A961" s="1" t="str">
        <f t="shared" si="14"/>
        <v>960-BUBBALOO REC LIQ HORTELA</v>
      </c>
      <c r="B961" s="1">
        <v>960</v>
      </c>
      <c r="C961" s="1" t="s">
        <v>1126</v>
      </c>
      <c r="D961" s="1" t="s">
        <v>408</v>
      </c>
    </row>
    <row r="962" spans="1:4" x14ac:dyDescent="0.25">
      <c r="A962" s="1" t="str">
        <f t="shared" si="14"/>
        <v>961-MENTOS PURE FRUIT</v>
      </c>
      <c r="B962" s="1">
        <v>961</v>
      </c>
      <c r="C962" s="1" t="s">
        <v>1127</v>
      </c>
      <c r="D962" s="1" t="s">
        <v>408</v>
      </c>
    </row>
    <row r="963" spans="1:4" x14ac:dyDescent="0.25">
      <c r="A963" s="1" t="str">
        <f t="shared" ref="A963:A1015" si="15">B963&amp;"-"&amp;C963</f>
        <v>962-BOMBOM SERENATA</v>
      </c>
      <c r="B963" s="1">
        <v>962</v>
      </c>
      <c r="C963" s="1" t="s">
        <v>1128</v>
      </c>
      <c r="D963" s="1" t="s">
        <v>408</v>
      </c>
    </row>
    <row r="964" spans="1:4" x14ac:dyDescent="0.25">
      <c r="A964" s="1" t="str">
        <f t="shared" si="15"/>
        <v>963-RONDELLI DE FRANGO</v>
      </c>
      <c r="B964" s="1">
        <v>963</v>
      </c>
      <c r="C964" s="1" t="s">
        <v>1129</v>
      </c>
      <c r="D964" s="1" t="s">
        <v>310</v>
      </c>
    </row>
    <row r="965" spans="1:4" x14ac:dyDescent="0.25">
      <c r="A965" s="1" t="str">
        <f t="shared" si="15"/>
        <v>964-EXEC RONDELLI DE FRANGO</v>
      </c>
      <c r="B965" s="1">
        <v>964</v>
      </c>
      <c r="C965" s="1" t="s">
        <v>1130</v>
      </c>
      <c r="D965" s="1" t="s">
        <v>310</v>
      </c>
    </row>
    <row r="966" spans="1:4" x14ac:dyDescent="0.25">
      <c r="A966" s="1" t="str">
        <f t="shared" si="15"/>
        <v>965-ENERG MONSTER MANGO LATA 269ML</v>
      </c>
      <c r="B966" s="1">
        <v>965</v>
      </c>
      <c r="C966" s="1" t="s">
        <v>1131</v>
      </c>
      <c r="D966" s="1" t="s">
        <v>110</v>
      </c>
    </row>
    <row r="967" spans="1:4" x14ac:dyDescent="0.25">
      <c r="A967" s="1" t="str">
        <f t="shared" si="15"/>
        <v>966-tripa bovina mp</v>
      </c>
      <c r="B967" s="1">
        <v>966</v>
      </c>
      <c r="C967" s="1" t="s">
        <v>1132</v>
      </c>
      <c r="D967" s="1" t="s">
        <v>548</v>
      </c>
    </row>
    <row r="968" spans="1:4" x14ac:dyDescent="0.25">
      <c r="A968" s="1" t="str">
        <f t="shared" si="15"/>
        <v>967-bucho bovino mp</v>
      </c>
      <c r="B968" s="1">
        <v>967</v>
      </c>
      <c r="C968" s="1" t="s">
        <v>1133</v>
      </c>
      <c r="D968" s="1" t="s">
        <v>548</v>
      </c>
    </row>
    <row r="969" spans="1:4" x14ac:dyDescent="0.25">
      <c r="A969" s="1" t="str">
        <f t="shared" si="15"/>
        <v>968-alcatra mp</v>
      </c>
      <c r="B969" s="1">
        <v>968</v>
      </c>
      <c r="C969" s="1" t="s">
        <v>1134</v>
      </c>
      <c r="D969" s="1" t="s">
        <v>548</v>
      </c>
    </row>
    <row r="970" spans="1:4" x14ac:dyDescent="0.25">
      <c r="A970" s="1" t="str">
        <f t="shared" si="15"/>
        <v>969-PICOLE QUICK EXC PISTACHE</v>
      </c>
      <c r="B970" s="1">
        <v>969</v>
      </c>
      <c r="C970" s="1" t="s">
        <v>1135</v>
      </c>
      <c r="D970" s="1" t="s">
        <v>410</v>
      </c>
    </row>
    <row r="971" spans="1:4" x14ac:dyDescent="0.25">
      <c r="A971" s="1" t="str">
        <f t="shared" si="15"/>
        <v>970-SORV NINHO GANACHE CHOCOLATE</v>
      </c>
      <c r="B971" s="1">
        <v>970</v>
      </c>
      <c r="C971" s="1" t="s">
        <v>1136</v>
      </c>
      <c r="D971" s="1" t="s">
        <v>399</v>
      </c>
    </row>
    <row r="972" spans="1:4" x14ac:dyDescent="0.25">
      <c r="A972" s="1" t="str">
        <f t="shared" si="15"/>
        <v>971-SORV NINHO MORANGO</v>
      </c>
      <c r="B972" s="1">
        <v>971</v>
      </c>
      <c r="C972" s="1" t="s">
        <v>1137</v>
      </c>
      <c r="D972" s="1" t="s">
        <v>399</v>
      </c>
    </row>
    <row r="973" spans="1:4" x14ac:dyDescent="0.25">
      <c r="A973" s="1" t="str">
        <f t="shared" si="15"/>
        <v>972-SORV NINHO ABACAXI</v>
      </c>
      <c r="B973" s="1">
        <v>972</v>
      </c>
      <c r="C973" s="1" t="s">
        <v>1138</v>
      </c>
      <c r="D973" s="1" t="s">
        <v>399</v>
      </c>
    </row>
    <row r="974" spans="1:4" x14ac:dyDescent="0.25">
      <c r="A974" s="1" t="str">
        <f t="shared" si="15"/>
        <v>973- cachaca pitu mp</v>
      </c>
      <c r="B974" s="1">
        <v>973</v>
      </c>
      <c r="C974" s="1" t="s">
        <v>1139</v>
      </c>
      <c r="D974" s="1" t="s">
        <v>782</v>
      </c>
    </row>
    <row r="975" spans="1:4" x14ac:dyDescent="0.25">
      <c r="A975" s="1" t="str">
        <f t="shared" si="15"/>
        <v>974-LANCHE</v>
      </c>
      <c r="B975" s="1">
        <v>974</v>
      </c>
      <c r="C975" s="1" t="s">
        <v>1140</v>
      </c>
      <c r="D975" s="1" t="s">
        <v>429</v>
      </c>
    </row>
    <row r="976" spans="1:4" x14ac:dyDescent="0.25">
      <c r="A976" s="1" t="str">
        <f t="shared" si="15"/>
        <v>975-milho em grao mp</v>
      </c>
      <c r="B976" s="1">
        <v>975</v>
      </c>
      <c r="C976" s="1" t="s">
        <v>1141</v>
      </c>
      <c r="D976" s="1" t="s">
        <v>631</v>
      </c>
    </row>
    <row r="977" spans="1:4" x14ac:dyDescent="0.25">
      <c r="A977" s="1" t="str">
        <f t="shared" si="15"/>
        <v>976-copo americano</v>
      </c>
      <c r="B977" s="1">
        <v>976</v>
      </c>
      <c r="C977" s="1" t="s">
        <v>1142</v>
      </c>
      <c r="D977" s="1" t="s">
        <v>1143</v>
      </c>
    </row>
    <row r="978" spans="1:4" x14ac:dyDescent="0.25">
      <c r="A978" s="1" t="str">
        <f t="shared" si="15"/>
        <v>977-SPRITE ABSOLUT SLEEK 269ML</v>
      </c>
      <c r="B978" s="1">
        <v>977</v>
      </c>
      <c r="C978" s="1" t="s">
        <v>1144</v>
      </c>
      <c r="D978" s="1" t="s">
        <v>953</v>
      </c>
    </row>
    <row r="979" spans="1:4" x14ac:dyDescent="0.25">
      <c r="A979" s="1" t="str">
        <f t="shared" si="15"/>
        <v>978-GUARANA ANTARCTICA ZERO 2L</v>
      </c>
      <c r="B979" s="1">
        <v>978</v>
      </c>
      <c r="C979" s="1" t="s">
        <v>1145</v>
      </c>
      <c r="D979" s="1" t="s">
        <v>85</v>
      </c>
    </row>
    <row r="980" spans="1:4" x14ac:dyDescent="0.25">
      <c r="A980" s="1" t="str">
        <f t="shared" si="15"/>
        <v>979-PICOLE PARDAL VITA WHEY CHOC</v>
      </c>
      <c r="B980" s="1">
        <v>979</v>
      </c>
      <c r="C980" s="1" t="s">
        <v>1146</v>
      </c>
      <c r="D980" s="1" t="s">
        <v>410</v>
      </c>
    </row>
    <row r="981" spans="1:4" x14ac:dyDescent="0.25">
      <c r="A981" s="1" t="str">
        <f t="shared" si="15"/>
        <v>980-PICOLE PARDAL VITA WHEY AMENDO</v>
      </c>
      <c r="B981" s="1">
        <v>980</v>
      </c>
      <c r="C981" s="1" t="s">
        <v>1147</v>
      </c>
      <c r="D981" s="1" t="s">
        <v>410</v>
      </c>
    </row>
    <row r="982" spans="1:4" x14ac:dyDescent="0.25">
      <c r="A982" s="1" t="str">
        <f t="shared" si="15"/>
        <v>981-VINHO AURORA PETIT VERDOT GF</v>
      </c>
      <c r="B982" s="1">
        <v>981</v>
      </c>
      <c r="C982" s="1" t="s">
        <v>1148</v>
      </c>
      <c r="D982" s="1" t="s">
        <v>243</v>
      </c>
    </row>
    <row r="983" spans="1:4" x14ac:dyDescent="0.25">
      <c r="A983" s="1" t="str">
        <f t="shared" si="15"/>
        <v>982-VINHO CHI S HELENA GF</v>
      </c>
      <c r="B983" s="1">
        <v>982</v>
      </c>
      <c r="C983" s="1" t="s">
        <v>1149</v>
      </c>
      <c r="D983" s="1" t="s">
        <v>243</v>
      </c>
    </row>
    <row r="984" spans="1:4" x14ac:dyDescent="0.25">
      <c r="A984" s="1" t="str">
        <f t="shared" si="15"/>
        <v>983-VINHO CHI GATO NEGRO MERLOT GF</v>
      </c>
      <c r="B984" s="1">
        <v>983</v>
      </c>
      <c r="C984" s="1" t="s">
        <v>1150</v>
      </c>
      <c r="D984" s="1" t="s">
        <v>243</v>
      </c>
    </row>
    <row r="985" spans="1:4" x14ac:dyDescent="0.25">
      <c r="A985" s="1" t="str">
        <f t="shared" si="15"/>
        <v>984-VINHO PERGOLA SUAVE GF</v>
      </c>
      <c r="B985" s="1">
        <v>984</v>
      </c>
      <c r="C985" s="1" t="s">
        <v>1151</v>
      </c>
      <c r="D985" s="1" t="s">
        <v>243</v>
      </c>
    </row>
    <row r="986" spans="1:4" x14ac:dyDescent="0.25">
      <c r="A986" s="1" t="str">
        <f t="shared" si="15"/>
        <v>985-VINHO PORTUGUES PERIQUITA GF</v>
      </c>
      <c r="B986" s="1">
        <v>985</v>
      </c>
      <c r="C986" s="1" t="s">
        <v>1152</v>
      </c>
      <c r="D986" s="1" t="s">
        <v>243</v>
      </c>
    </row>
    <row r="987" spans="1:4" x14ac:dyDescent="0.25">
      <c r="A987" s="1" t="str">
        <f t="shared" si="15"/>
        <v>986-VINHO CHI CASILLLE D MERLOT GF</v>
      </c>
      <c r="B987" s="1">
        <v>986</v>
      </c>
      <c r="C987" s="1" t="s">
        <v>1153</v>
      </c>
      <c r="D987" s="1" t="s">
        <v>243</v>
      </c>
    </row>
    <row r="988" spans="1:4" x14ac:dyDescent="0.25">
      <c r="A988" s="1" t="str">
        <f t="shared" si="15"/>
        <v>987-VINHO CHI CASILLLE D CAR GF</v>
      </c>
      <c r="B988" s="1">
        <v>987</v>
      </c>
      <c r="C988" s="1" t="s">
        <v>1154</v>
      </c>
      <c r="D988" s="1" t="s">
        <v>243</v>
      </c>
    </row>
    <row r="989" spans="1:4" x14ac:dyDescent="0.25">
      <c r="A989" s="1" t="str">
        <f t="shared" si="15"/>
        <v>988-CAJUINA SAO GERALDO 350ML</v>
      </c>
      <c r="B989" s="1">
        <v>988</v>
      </c>
      <c r="C989" s="1" t="s">
        <v>1155</v>
      </c>
      <c r="D989" s="1" t="s">
        <v>85</v>
      </c>
    </row>
    <row r="990" spans="1:4" x14ac:dyDescent="0.25">
      <c r="A990" s="1" t="str">
        <f t="shared" si="15"/>
        <v>989-BUBBALOO BALA AZED MORANGO</v>
      </c>
      <c r="B990" s="1">
        <v>989</v>
      </c>
      <c r="C990" s="1" t="s">
        <v>1156</v>
      </c>
      <c r="D990" s="1" t="s">
        <v>408</v>
      </c>
    </row>
    <row r="991" spans="1:4" x14ac:dyDescent="0.25">
      <c r="A991" s="1" t="str">
        <f t="shared" si="15"/>
        <v>990-EISENBAHN LATA 350ML</v>
      </c>
      <c r="B991" s="1">
        <v>990</v>
      </c>
      <c r="C991" s="1" t="s">
        <v>1157</v>
      </c>
      <c r="D991" s="1" t="s">
        <v>113</v>
      </c>
    </row>
    <row r="992" spans="1:4" x14ac:dyDescent="0.25">
      <c r="A992" s="1" t="str">
        <f t="shared" si="15"/>
        <v>991-CAJUINA SAO GERALDO ZERO 350ML</v>
      </c>
      <c r="B992" s="1">
        <v>991</v>
      </c>
      <c r="C992" s="1" t="s">
        <v>1158</v>
      </c>
      <c r="D992" s="1" t="s">
        <v>85</v>
      </c>
    </row>
    <row r="993" spans="1:4" x14ac:dyDescent="0.25">
      <c r="A993" s="1" t="str">
        <f t="shared" si="15"/>
        <v>992-BALA MENTOS PURE MINT</v>
      </c>
      <c r="B993" s="1">
        <v>992</v>
      </c>
      <c r="C993" s="1" t="s">
        <v>1159</v>
      </c>
      <c r="D993" s="1" t="s">
        <v>408</v>
      </c>
    </row>
    <row r="994" spans="1:4" x14ac:dyDescent="0.25">
      <c r="A994" s="1" t="str">
        <f t="shared" si="15"/>
        <v>993-DELICIA DE CHOCOLATE NINHO</v>
      </c>
      <c r="B994" s="1">
        <v>993</v>
      </c>
      <c r="C994" s="1" t="s">
        <v>1160</v>
      </c>
      <c r="D994" s="1" t="s">
        <v>399</v>
      </c>
    </row>
    <row r="995" spans="1:4" x14ac:dyDescent="0.25">
      <c r="A995" s="1" t="str">
        <f t="shared" si="15"/>
        <v>994-DELICIA DE MORANGO</v>
      </c>
      <c r="B995" s="1">
        <v>994</v>
      </c>
      <c r="C995" s="1" t="s">
        <v>1161</v>
      </c>
      <c r="D995" s="1" t="s">
        <v>399</v>
      </c>
    </row>
    <row r="996" spans="1:4" x14ac:dyDescent="0.25">
      <c r="A996" s="1" t="str">
        <f t="shared" si="15"/>
        <v>995-molho barbecue</v>
      </c>
      <c r="B996" s="1">
        <v>995</v>
      </c>
      <c r="C996" s="1" t="s">
        <v>1162</v>
      </c>
      <c r="D996" s="1" t="s">
        <v>605</v>
      </c>
    </row>
    <row r="997" spans="1:4" x14ac:dyDescent="0.25">
      <c r="A997" s="1" t="str">
        <f t="shared" si="15"/>
        <v>996-DELICIA NINHO MORANGO CHOCOLAT</v>
      </c>
      <c r="B997" s="1">
        <v>996</v>
      </c>
      <c r="C997" s="1" t="s">
        <v>1163</v>
      </c>
      <c r="D997" s="1" t="s">
        <v>399</v>
      </c>
    </row>
    <row r="998" spans="1:4" x14ac:dyDescent="0.25">
      <c r="A998" s="1" t="str">
        <f t="shared" si="15"/>
        <v>997-carne industrial mp</v>
      </c>
      <c r="B998" s="1">
        <v>997</v>
      </c>
      <c r="C998" s="1" t="s">
        <v>1164</v>
      </c>
      <c r="D998" s="1" t="s">
        <v>548</v>
      </c>
    </row>
    <row r="999" spans="1:4" x14ac:dyDescent="0.25">
      <c r="A999" s="1" t="str">
        <f t="shared" si="15"/>
        <v>998-BOMBOM LACTA OREO</v>
      </c>
      <c r="B999" s="1">
        <v>998</v>
      </c>
      <c r="C999" s="1" t="s">
        <v>1165</v>
      </c>
      <c r="D999" s="1" t="s">
        <v>408</v>
      </c>
    </row>
    <row r="1000" spans="1:4" x14ac:dyDescent="0.25">
      <c r="A1000" s="1" t="str">
        <f t="shared" si="15"/>
        <v>999-COPO 51 OURO</v>
      </c>
      <c r="B1000" s="1">
        <v>999</v>
      </c>
      <c r="C1000" s="1" t="s">
        <v>1166</v>
      </c>
      <c r="D1000" s="1" t="s">
        <v>157</v>
      </c>
    </row>
    <row r="1001" spans="1:4" x14ac:dyDescent="0.25">
      <c r="A1001" s="1" t="str">
        <f t="shared" si="15"/>
        <v>1000-COPO 51 PRATA</v>
      </c>
      <c r="B1001" s="1">
        <v>1000</v>
      </c>
      <c r="C1001" s="1" t="s">
        <v>1167</v>
      </c>
      <c r="D1001" s="1" t="s">
        <v>157</v>
      </c>
    </row>
    <row r="1002" spans="1:4" x14ac:dyDescent="0.25">
      <c r="A1002" s="1" t="str">
        <f t="shared" si="15"/>
        <v>1021-melancia mp</v>
      </c>
      <c r="B1002" s="1">
        <v>1021</v>
      </c>
      <c r="C1002" s="1" t="s">
        <v>1168</v>
      </c>
      <c r="D1002" s="1" t="s">
        <v>575</v>
      </c>
    </row>
    <row r="1003" spans="1:4" x14ac:dyDescent="0.25">
      <c r="A1003" s="1" t="str">
        <f t="shared" si="15"/>
        <v>1022-SKOL BEATS RED MIX LN 269ML</v>
      </c>
      <c r="B1003" s="1">
        <v>1022</v>
      </c>
      <c r="C1003" s="1" t="s">
        <v>1169</v>
      </c>
      <c r="D1003" s="1" t="s">
        <v>113</v>
      </c>
    </row>
    <row r="1004" spans="1:4" x14ac:dyDescent="0.25">
      <c r="A1004" s="1" t="str">
        <f t="shared" si="15"/>
        <v>1023-batata doce mp</v>
      </c>
      <c r="B1004" s="1">
        <v>1023</v>
      </c>
      <c r="C1004" s="1" t="s">
        <v>1170</v>
      </c>
      <c r="D1004" s="1" t="s">
        <v>575</v>
      </c>
    </row>
    <row r="1005" spans="1:4" x14ac:dyDescent="0.25">
      <c r="A1005" s="1" t="str">
        <f t="shared" si="15"/>
        <v>1024-FANTA MISTERIO CHUCKY LT 350ML</v>
      </c>
      <c r="B1005" s="1">
        <v>1024</v>
      </c>
      <c r="C1005" s="1" t="s">
        <v>1171</v>
      </c>
      <c r="D1005" s="1" t="s">
        <v>85</v>
      </c>
    </row>
    <row r="1006" spans="1:4" x14ac:dyDescent="0.25">
      <c r="A1006" s="1" t="str">
        <f t="shared" si="15"/>
        <v>1025-figado bovino mp</v>
      </c>
      <c r="B1006" s="1">
        <v>1025</v>
      </c>
      <c r="C1006" s="1" t="s">
        <v>1172</v>
      </c>
      <c r="D1006" s="1" t="s">
        <v>548</v>
      </c>
    </row>
    <row r="1007" spans="1:4" x14ac:dyDescent="0.25">
      <c r="A1007" s="1" t="str">
        <f t="shared" si="15"/>
        <v>1026-sangria mp</v>
      </c>
      <c r="B1007" s="1">
        <v>1026</v>
      </c>
      <c r="C1007" s="1" t="s">
        <v>1173</v>
      </c>
      <c r="D1007" s="1" t="s">
        <v>548</v>
      </c>
    </row>
    <row r="1008" spans="1:4" x14ac:dyDescent="0.25">
      <c r="A1008" s="1" t="str">
        <f t="shared" si="15"/>
        <v>1027-desengripante 300ml</v>
      </c>
      <c r="B1008" s="1">
        <v>1027</v>
      </c>
      <c r="C1008" s="1" t="s">
        <v>1174</v>
      </c>
      <c r="D1008" s="1" t="s">
        <v>728</v>
      </c>
    </row>
    <row r="1009" spans="1:4" x14ac:dyDescent="0.25">
      <c r="A1009" s="1" t="str">
        <f t="shared" si="15"/>
        <v>1028-lampara led</v>
      </c>
      <c r="B1009" s="1">
        <v>1028</v>
      </c>
      <c r="C1009" s="1" t="s">
        <v>1175</v>
      </c>
      <c r="D1009" s="1" t="s">
        <v>1176</v>
      </c>
    </row>
    <row r="1010" spans="1:4" x14ac:dyDescent="0.25">
      <c r="A1010" s="1" t="str">
        <f t="shared" si="15"/>
        <v>1029-BALA MENTOS FRUTA 14P</v>
      </c>
      <c r="B1010" s="1">
        <v>1029</v>
      </c>
      <c r="C1010" s="1" t="s">
        <v>1177</v>
      </c>
      <c r="D1010" s="1" t="s">
        <v>408</v>
      </c>
    </row>
    <row r="1011" spans="1:4" x14ac:dyDescent="0.25">
      <c r="A1011" s="1" t="str">
        <f t="shared" si="15"/>
        <v>1030-SORV PARDAL SUNDAE MORAN 180ML</v>
      </c>
      <c r="B1011" s="1">
        <v>1030</v>
      </c>
      <c r="C1011" s="1" t="s">
        <v>1178</v>
      </c>
      <c r="D1011" s="1" t="s">
        <v>415</v>
      </c>
    </row>
    <row r="1012" spans="1:4" x14ac:dyDescent="0.25">
      <c r="A1012" s="1" t="str">
        <f t="shared" si="15"/>
        <v>1031-SORV PARDAL SUNDAE CHOC 180ML</v>
      </c>
      <c r="B1012" s="1">
        <v>1031</v>
      </c>
      <c r="C1012" s="1" t="s">
        <v>1179</v>
      </c>
      <c r="D1012" s="1" t="s">
        <v>415</v>
      </c>
    </row>
    <row r="1013" spans="1:4" x14ac:dyDescent="0.25">
      <c r="A1013" s="1" t="str">
        <f t="shared" si="15"/>
        <v>1032-SODA LIMONADA LT 350ML</v>
      </c>
      <c r="B1013" s="1">
        <v>1032</v>
      </c>
      <c r="C1013" s="1" t="s">
        <v>1180</v>
      </c>
      <c r="D1013" s="1" t="s">
        <v>85</v>
      </c>
    </row>
    <row r="1014" spans="1:4" x14ac:dyDescent="0.25">
      <c r="A1014" s="1" t="str">
        <f t="shared" si="15"/>
        <v>1033-SPATEN LN 355ML</v>
      </c>
      <c r="B1014" s="1">
        <v>1033</v>
      </c>
      <c r="C1014" s="1" t="s">
        <v>1181</v>
      </c>
      <c r="D1014" s="1" t="s">
        <v>113</v>
      </c>
    </row>
    <row r="1015" spans="1:4" x14ac:dyDescent="0.25">
      <c r="A1015" s="1" t="str">
        <f t="shared" si="15"/>
        <v>1034-CORONA ZERO LN 300ML</v>
      </c>
      <c r="B1015" s="1">
        <v>1034</v>
      </c>
      <c r="C1015" s="1" t="s">
        <v>1182</v>
      </c>
      <c r="D1015" s="1" t="s">
        <v>123</v>
      </c>
    </row>
    <row r="1016" spans="1:4" x14ac:dyDescent="0.25">
      <c r="A1016" s="1" t="s">
        <v>1210</v>
      </c>
      <c r="B1016" s="1">
        <v>1041</v>
      </c>
      <c r="C1016" s="1" t="s">
        <v>1214</v>
      </c>
      <c r="D1016" s="1" t="s">
        <v>113</v>
      </c>
    </row>
    <row r="1017" spans="1:4" x14ac:dyDescent="0.25">
      <c r="A1017" s="1" t="s">
        <v>1227</v>
      </c>
      <c r="B1017" s="1">
        <v>1073</v>
      </c>
      <c r="C1017" s="1" t="s">
        <v>1228</v>
      </c>
      <c r="D1017" s="1" t="s">
        <v>605</v>
      </c>
    </row>
    <row r="1018" spans="1:4" x14ac:dyDescent="0.25">
      <c r="A1018" s="1" t="s">
        <v>1231</v>
      </c>
      <c r="B1018" s="1">
        <v>1090</v>
      </c>
      <c r="C1018" s="1" t="s">
        <v>1236</v>
      </c>
      <c r="D1018" s="1" t="s">
        <v>548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6</vt:i4>
      </vt:variant>
    </vt:vector>
  </HeadingPairs>
  <TitlesOfParts>
    <vt:vector size="10" baseType="lpstr">
      <vt:lpstr>Mucambo</vt:lpstr>
      <vt:lpstr>Frecheirinha</vt:lpstr>
      <vt:lpstr>Tianguá</vt:lpstr>
      <vt:lpstr>Base</vt:lpstr>
      <vt:lpstr>Frecheirinha!Area_de_impressao</vt:lpstr>
      <vt:lpstr>Mucambo!Area_de_impressao</vt:lpstr>
      <vt:lpstr>Tianguá!Area_de_impressao</vt:lpstr>
      <vt:lpstr>Frecheirinha!Titulos_de_impressao</vt:lpstr>
      <vt:lpstr>Mucambo!Titulos_de_impressao</vt:lpstr>
      <vt:lpstr>Tianguá!Titulos_de_impressao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Rodrigues</dc:creator>
  <cp:lastModifiedBy>Igor Rodrigues</cp:lastModifiedBy>
  <cp:lastPrinted>2026-06-06T19:00:44Z</cp:lastPrinted>
  <dcterms:created xsi:type="dcterms:W3CDTF">2025-12-06T13:03:19Z</dcterms:created>
  <dcterms:modified xsi:type="dcterms:W3CDTF">2026-06-06T19:03:36Z</dcterms:modified>
</cp:coreProperties>
</file>